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ำแนะนำการใช้งาน" sheetId="1" state="visible" r:id="rId1"/>
    <sheet xmlns:r="http://schemas.openxmlformats.org/officeDocument/2006/relationships" name="ประเมินผลทีม" sheetId="2" state="visible" r:id="rId2"/>
    <sheet xmlns:r="http://schemas.openxmlformats.org/officeDocument/2006/relationships" name="เกณฑ์ประเมินแบบละเอีย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alibri"/>
      <b val="1"/>
      <color rgb="001F4E78"/>
      <sz val="12"/>
    </font>
    <font>
      <name val="Calibri"/>
      <b val="1"/>
      <color rgb="001F4E78"/>
      <sz val="11"/>
    </font>
    <font>
      <name val="Calibri"/>
      <b val="1"/>
      <color rgb="00FFFFFF"/>
      <sz val="11"/>
    </font>
    <font>
      <name val="Calibri"/>
      <i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C6E0B4"/>
        <bgColor rgb="00C6E0B4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DCE6F1"/>
        <bgColor rgb="00DCE6F1"/>
      </patternFill>
    </fill>
  </fills>
  <borders count="6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medium">
        <color rgb="001F4E78"/>
      </bottom>
    </border>
    <border>
      <left style="thin">
        <color rgb="00D3D3D3"/>
      </left>
      <right/>
      <top/>
      <bottom/>
      <diagonal/>
    </border>
    <border>
      <left style="thin">
        <color rgb="00D3D3D3"/>
      </left>
      <right style="thin">
        <color rgb="00D3D3D3"/>
      </right>
      <top/>
      <bottom/>
      <diagonal/>
    </border>
    <border>
      <left style="thin">
        <color rgb="00D3D3D3"/>
      </left>
      <right style="thin">
        <color rgb="00D3D3D3"/>
      </right>
      <top/>
      <bottom style="thin">
        <color rgb="00D3D3D3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1" fontId="3" fillId="7" borderId="1" applyAlignment="1" pivotButton="0" quotePrefix="0" xfId="0">
      <alignment horizontal="center" vertical="center" wrapText="1"/>
    </xf>
    <xf numFmtId="1" fontId="3" fillId="8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1" fontId="3" fillId="9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10" customWidth="1" min="2" max="2"/>
  </cols>
  <sheetData>
    <row r="1" ht="40" customHeight="1">
      <c r="A1" s="1" t="inlineStr">
        <is>
          <t>คู่มือและระบบบันทึกคะแนน RPG Status Framework (ฉบับอัปเดตเกณฑ์ใหม่)</t>
        </is>
      </c>
    </row>
    <row r="2" ht="22" customHeight="1">
      <c r="A2" s="2" t="inlineStr"/>
      <c r="B2" s="3" t="inlineStr"/>
    </row>
    <row r="3" ht="22" customHeight="1">
      <c r="A3" s="4" t="inlineStr">
        <is>
          <t>วัตถุประสงค์</t>
        </is>
      </c>
      <c r="B3" s="3" t="inlineStr">
        <is>
          <t>ใช้ประเมินสไตล์การทำงาน พฤติกรรม และศักยภาพของบุคลากรเพื่อวางแผนการพัฒนา (Development Plan) ไม่ใช่การจับผิดหรือตรวจผลงานจริง</t>
        </is>
      </c>
    </row>
    <row r="4" ht="22" customHeight="1">
      <c r="A4" s="4" t="inlineStr">
        <is>
          <t>โครงสร้างระดับคะแนนใหม่ (5 ระดับ)</t>
        </is>
      </c>
      <c r="B4" s="3" t="inlineStr">
        <is>
          <t>การประเมินใช้คะแนนดิบ 1-10 ในแต่ละหัวข้อย่อย โดยอ้างอิงระดับพฤติกรรมจริงดังนี้:</t>
        </is>
      </c>
    </row>
    <row r="5" ht="22" customHeight="1">
      <c r="A5" s="5" t="inlineStr">
        <is>
          <t xml:space="preserve">  1. ระดับพื้นฐาน (Basic)</t>
        </is>
      </c>
      <c r="B5" s="3" t="inlineStr">
        <is>
          <t>คะแนน 1-3 | ยังต้องการการดูแลอย่างใกล้ชิด หรือต้องมีคนคอยช่วยเหลือเมื่อพบปัญหาที่ไม่คุ้นเคย</t>
        </is>
      </c>
    </row>
    <row r="6" ht="22" customHeight="1">
      <c r="A6" s="5" t="inlineStr">
        <is>
          <t xml:space="preserve">  2. ระดับปานกลาง (Intermediate)</t>
        </is>
      </c>
      <c r="B6" s="3" t="inlineStr">
        <is>
          <t>คะแนน 4-5 | สามารถทำงานประจำวันพื้นฐานได้ดีด้วยตนเอง แต่ถ้าพบงานยากหรือกดดันสูงอาจยังสับสน</t>
        </is>
      </c>
    </row>
    <row r="7" ht="22" customHeight="1">
      <c r="A7" s="5" t="inlineStr">
        <is>
          <t xml:space="preserve">  3. ระดับมาตรฐาน (Standard)</t>
        </is>
      </c>
      <c r="B7" s="3" t="inlineStr">
        <is>
          <t>คะแนน 6 | เกณฑ์มาตรฐานหลักที่ทุกคนพึงมี ทำงานถูกต้อง พึ่งพาตนเองได้ในขอบเขตงานปกติอย่างเสถียร</t>
        </is>
      </c>
    </row>
    <row r="8" ht="22" customHeight="1">
      <c r="A8" s="5" t="inlineStr">
        <is>
          <t xml:space="preserve">  4. ระดับสูง (Advanced)</t>
        </is>
      </c>
      <c r="B8" s="3" t="inlineStr">
        <is>
          <t>คะแนน 7-8 | ทำงานซับซ้อน ปิดเคสยาก หรือแก้ปัญหาหน้างานได้เฉียบขาดด้วยตนเอง เป็นที่พึ่งพาให้เพื่อนร่วมทีม</t>
        </is>
      </c>
    </row>
    <row r="9" ht="22" customHeight="1">
      <c r="A9" s="5" t="inlineStr">
        <is>
          <t xml:space="preserve">  5. ระดับเชี่ยวชาญ/วิกฤต (Mastery)</t>
        </is>
      </c>
      <c r="B9" s="3" t="inlineStr">
        <is>
          <t>คะแนน 9-10 | ระดับปรมาจารย์ สามารถจัดการเคสวิกฤต เป็นต้นแบบ (Role Model) หรือ Mentor สอนผู้อื่นในทีมได้</t>
        </is>
      </c>
    </row>
    <row r="10" ht="22" customHeight="1">
      <c r="A10" s="2" t="inlineStr"/>
      <c r="B10" s="3" t="inlineStr"/>
    </row>
    <row r="11" ht="22" customHeight="1">
      <c r="A11" s="4" t="inlineStr">
        <is>
          <t>ขั้นตอนการใช้งานเทมเพลต</t>
        </is>
      </c>
      <c r="B11" s="3" t="inlineStr"/>
    </row>
    <row r="12" ht="22" customHeight="1">
      <c r="A12" s="5" t="inlineStr">
        <is>
          <t xml:space="preserve">  ขั้นตอนที่ 1</t>
        </is>
      </c>
      <c r="B12" s="3" t="inlineStr">
        <is>
          <t>เข้าไปที่แผ่นงาน 'ประเมินผลทีม'</t>
        </is>
      </c>
    </row>
    <row r="13" ht="22" customHeight="1">
      <c r="A13" s="5" t="inlineStr">
        <is>
          <t xml:space="preserve">  ขั้นตอนที่ 2</t>
        </is>
      </c>
      <c r="B13" s="3" t="inlineStr">
        <is>
          <t>กรอกชื่อพนักงาน และตำแหน่งในคอลัมน์ A และ B</t>
        </is>
      </c>
    </row>
    <row r="14" ht="22" customHeight="1">
      <c r="A14" s="5" t="inlineStr">
        <is>
          <t xml:space="preserve">  ขั้นตอนที่ 3</t>
        </is>
      </c>
      <c r="B14" s="3" t="inlineStr">
        <is>
          <t>ประเมินคะแนนพฤติกรรมจริงรายหัวข้อย่อยในคอลัมน์ K ถึง AC (คะแนน 1-10) ตามแนวทางในแผ่นงาน 'เกณฑ์ประเมินแบบละเอียด'</t>
        </is>
      </c>
    </row>
    <row r="15" ht="22" customHeight="1">
      <c r="A15" s="5" t="inlineStr">
        <is>
          <t xml:space="preserve">  ขั้นตอนที่ 4</t>
        </is>
      </c>
      <c r="B15" s="3" t="inlineStr">
        <is>
          <t>ระบบจะคำนวณค่าเฉลี่ยสเตตัสหลัก (คอลัมน์ C ถึง H) รวมถึงวิเคราะห์ 'จุดแข็งหลัก' และ 'จุดที่ควรพัฒนา' ให้อัตโนมัติ</t>
        </is>
      </c>
    </row>
    <row r="16" ht="22" customHeight="1">
      <c r="A16" s="5" t="inlineStr">
        <is>
          <t xml:space="preserve">  ขั้นตอนที่ 5</t>
        </is>
      </c>
      <c r="B16" s="3" t="inlineStr">
        <is>
          <t>เลือกข้อมูลชื่อและสเตตัสเฉลี่ย เพื่อนำไปสร้างแผนภูมิเรดาร์ 6 เหลี่ยม (Radar Chart) เพื่อใช้ในการโค้ชชิ่งและพัฒนาบุคลากรรายบุคคล</t>
        </is>
      </c>
    </row>
    <row r="17" ht="22" customHeight="1">
      <c r="A17" s="2" t="inlineStr"/>
      <c r="B17" s="3" t="inlineStr"/>
    </row>
    <row r="18" ht="22" customHeight="1">
      <c r="A18" s="4" t="inlineStr">
        <is>
          <t>สัญลักษณ์สีในเทมเพลต</t>
        </is>
      </c>
      <c r="B18" s="3" t="inlineStr"/>
    </row>
    <row r="19" ht="22" customHeight="1">
      <c r="A19" s="5" t="inlineStr">
        <is>
          <t xml:space="preserve">  [ สีฟ้าอ่อน ]</t>
        </is>
      </c>
      <c r="B19" s="3" t="inlineStr">
        <is>
          <t>ช่องสำหรับกรอกข้อมูลดิบ/คะแนนดิบรายหัวข้อย่อย (User Inputs)</t>
        </is>
      </c>
    </row>
    <row r="20" ht="22" customHeight="1">
      <c r="A20" s="5" t="inlineStr">
        <is>
          <t xml:space="preserve">  [ สีเขียวอ่อน ]</t>
        </is>
      </c>
      <c r="B20" s="3" t="inlineStr">
        <is>
          <t>ช่องแสดงค่าเฉลี่ยสเตตัสหลักและจุดแข็งหลักที่คำนวณจากสูตรอัตโนมัติ (Calculated Outputs)</t>
        </is>
      </c>
    </row>
    <row r="21" ht="22" customHeight="1">
      <c r="A21" s="5" t="inlineStr">
        <is>
          <t xml:space="preserve">  [ สีส้มพาสเทล ]</t>
        </is>
      </c>
      <c r="B21" s="3" t="inlineStr">
        <is>
          <t>ช่องแสดงจุดที่ควรได้รับการพัฒนา (Development Areas) ที่คำนวณจากสูตรอัตโนมัติ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5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6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 ht="40" customHeight="1">
      <c r="A1" s="6" t="inlineStr">
        <is>
          <t>ระบบบันทึกคะแนนและประเมินสเตตัสทีมงาน (RPG Status Framework)</t>
        </is>
      </c>
    </row>
    <row r="2" ht="35" customHeight="1">
      <c r="A2" s="7" t="inlineStr">
        <is>
          <t>ชื่อพนักงาน</t>
        </is>
      </c>
      <c r="B2" s="7" t="inlineStr">
        <is>
          <t>ตำแหน่ง</t>
        </is>
      </c>
      <c r="C2" s="8" t="inlineStr">
        <is>
          <t>STR เฉลี่ย</t>
        </is>
      </c>
      <c r="D2" s="8" t="inlineStr">
        <is>
          <t>AGI เฉลี่ย</t>
        </is>
      </c>
      <c r="E2" s="8" t="inlineStr">
        <is>
          <t>DEX เฉลี่ย</t>
        </is>
      </c>
      <c r="F2" s="8" t="inlineStr">
        <is>
          <t>INT เฉลี่ย</t>
        </is>
      </c>
      <c r="G2" s="8" t="inlineStr">
        <is>
          <t>CON เฉลี่ย</t>
        </is>
      </c>
      <c r="H2" s="8" t="inlineStr">
        <is>
          <t>SEN เฉลี่ย</t>
        </is>
      </c>
      <c r="I2" s="7" t="inlineStr">
        <is>
          <t>จุดแข็งหลัก</t>
        </is>
      </c>
      <c r="J2" s="7" t="inlineStr">
        <is>
          <t>จุดที่ควรพัฒนา</t>
        </is>
      </c>
      <c r="K2" s="8" t="inlineStr">
        <is>
          <t>STR1
เด็ดขาด</t>
        </is>
      </c>
      <c r="L2" s="8" t="inlineStr">
        <is>
          <t>STR2
ปิดเคสยาก</t>
        </is>
      </c>
      <c r="M2" s="8" t="inlineStr">
        <is>
          <t>STR3
คุมผู้รับเหมา</t>
        </is>
      </c>
      <c r="N2" s="8" t="inlineStr">
        <is>
          <t>AGI1
ตอบสนองไว</t>
        </is>
      </c>
      <c r="O2" s="8" t="inlineStr">
        <is>
          <t>AGI2
เหตุฉุกเฉิน</t>
        </is>
      </c>
      <c r="P2" s="8" t="inlineStr">
        <is>
          <t>AGI3
ปรับยืดหยุ่น</t>
        </is>
      </c>
      <c r="Q2" s="8" t="inlineStr">
        <is>
          <t>DEX1
ข้อมูลแม่น</t>
        </is>
      </c>
      <c r="R2" s="8" t="inlineStr">
        <is>
          <t>DEX2
ตรวจละเอียด</t>
        </is>
      </c>
      <c r="S2" s="8" t="inlineStr">
        <is>
          <t>DEX3
มาตรฐานSLA</t>
        </is>
      </c>
      <c r="T2" s="8" t="inlineStr">
        <is>
          <t>INT1
วิเคราะห์ราก</t>
        </is>
      </c>
      <c r="U2" s="8" t="inlineStr">
        <is>
          <t>INT2
ความรู้ระบบ</t>
        </is>
      </c>
      <c r="V2" s="8" t="inlineStr">
        <is>
          <t>INT3
แผนเชิงป้องกัน</t>
        </is>
      </c>
      <c r="W2" s="8" t="inlineStr">
        <is>
          <t>INT4
คิดสร้างสรรค์</t>
        </is>
      </c>
      <c r="X2" s="8" t="inlineStr">
        <is>
          <t>CON1
คุมอารมณ์</t>
        </is>
      </c>
      <c r="Y2" s="8" t="inlineStr">
        <is>
          <t>CON2
ทนแรงกดดัน</t>
        </is>
      </c>
      <c r="Z2" s="8" t="inlineStr">
        <is>
          <t>CON3
เข้าใจลูกค้า</t>
        </is>
      </c>
      <c r="AA2" s="8" t="inlineStr">
        <is>
          <t>SEN1
บริหารคิว</t>
        </is>
      </c>
      <c r="AB2" s="8" t="inlineStr">
        <is>
          <t>SEN2
เทคโนโลยีตามงาน</t>
        </is>
      </c>
      <c r="AC2" s="8" t="inlineStr">
        <is>
          <t>SEN3
เทคโนโลยีลดขั้นตอน</t>
        </is>
      </c>
    </row>
    <row r="3" ht="24" customHeight="1">
      <c r="A3" s="9" t="inlineStr">
        <is>
          <t>นายสมชาย ยอดช่าง (ตัวอย่าง)</t>
        </is>
      </c>
      <c r="B3" s="9" t="inlineStr">
        <is>
          <t>โฟร์แมนหน้างาน</t>
        </is>
      </c>
      <c r="C3" s="10">
        <f>AVERAGE(K3:M3)</f>
        <v/>
      </c>
      <c r="D3" s="10">
        <f>AVERAGE(N3:P3)</f>
        <v/>
      </c>
      <c r="E3" s="10">
        <f>AVERAGE(Q3:S3)</f>
        <v/>
      </c>
      <c r="F3" s="10">
        <f>AVERAGE(T3:W3)</f>
        <v/>
      </c>
      <c r="G3" s="10">
        <f>AVERAGE(X3:Z3)</f>
        <v/>
      </c>
      <c r="H3" s="10">
        <f>AVERAGE(AA3:AC3)</f>
        <v/>
      </c>
      <c r="I3" s="11">
        <f>INDEX($C$2:$H$2, MATCH(MAX(C3:H3), C3:H3, 0))</f>
        <v/>
      </c>
      <c r="J3" s="12">
        <f>INDEX($C$2:$H$2, MATCH(MIN(C3:H3), C3:H3, 0))</f>
        <v/>
      </c>
      <c r="K3" s="13" t="n">
        <v>7</v>
      </c>
      <c r="L3" s="13" t="n">
        <v>8</v>
      </c>
      <c r="M3" s="13" t="n">
        <v>6</v>
      </c>
      <c r="N3" s="13" t="n">
        <v>8</v>
      </c>
      <c r="O3" s="13" t="n">
        <v>7</v>
      </c>
      <c r="P3" s="13" t="n">
        <v>5</v>
      </c>
      <c r="Q3" s="13" t="n">
        <v>8</v>
      </c>
      <c r="R3" s="13" t="n">
        <v>8</v>
      </c>
      <c r="S3" s="13" t="n">
        <v>7</v>
      </c>
      <c r="T3" s="13" t="n">
        <v>6</v>
      </c>
      <c r="U3" s="13" t="n">
        <v>6</v>
      </c>
      <c r="V3" s="13" t="n">
        <v>7</v>
      </c>
      <c r="W3" s="13" t="n">
        <v>7</v>
      </c>
      <c r="X3" s="13" t="n">
        <v>7</v>
      </c>
      <c r="Y3" s="13" t="n">
        <v>5</v>
      </c>
      <c r="Z3" s="13" t="n">
        <v>6</v>
      </c>
      <c r="AA3" s="13" t="n">
        <v>6</v>
      </c>
      <c r="AB3" s="13" t="n">
        <v>7</v>
      </c>
      <c r="AC3" s="13" t="n">
        <v>8</v>
      </c>
    </row>
    <row r="4" ht="24" customHeight="1">
      <c r="A4" s="9" t="inlineStr">
        <is>
          <t>นางสาววิภา ตรวจละเอียด (ตัวอย่าง)</t>
        </is>
      </c>
      <c r="B4" s="9" t="inlineStr">
        <is>
          <t>เจ้าหน้าที่บริหารงาน/ธุรการ</t>
        </is>
      </c>
      <c r="C4" s="10">
        <f>AVERAGE(K4:M4)</f>
        <v/>
      </c>
      <c r="D4" s="10">
        <f>AVERAGE(N4:P4)</f>
        <v/>
      </c>
      <c r="E4" s="10">
        <f>AVERAGE(Q4:S4)</f>
        <v/>
      </c>
      <c r="F4" s="10">
        <f>AVERAGE(T4:W4)</f>
        <v/>
      </c>
      <c r="G4" s="10">
        <f>AVERAGE(X4:Z4)</f>
        <v/>
      </c>
      <c r="H4" s="10">
        <f>AVERAGE(AA4:AC4)</f>
        <v/>
      </c>
      <c r="I4" s="11">
        <f>INDEX($C$2:$H$2, MATCH(MAX(C4:H4), C4:H4, 0))</f>
        <v/>
      </c>
      <c r="J4" s="12">
        <f>INDEX($C$2:$H$2, MATCH(MIN(C4:H4), C4:H4, 0))</f>
        <v/>
      </c>
      <c r="K4" s="14" t="n">
        <v>5</v>
      </c>
      <c r="L4" s="14" t="n">
        <v>5</v>
      </c>
      <c r="M4" s="14" t="n">
        <v>6</v>
      </c>
      <c r="N4" s="14" t="n">
        <v>6</v>
      </c>
      <c r="O4" s="14" t="n">
        <v>7</v>
      </c>
      <c r="P4" s="14" t="n">
        <v>6</v>
      </c>
      <c r="Q4" s="14" t="n">
        <v>9</v>
      </c>
      <c r="R4" s="14" t="n">
        <v>8</v>
      </c>
      <c r="S4" s="14" t="n">
        <v>8</v>
      </c>
      <c r="T4" s="14" t="n">
        <v>5</v>
      </c>
      <c r="U4" s="14" t="n">
        <v>6</v>
      </c>
      <c r="V4" s="14" t="n">
        <v>5</v>
      </c>
      <c r="W4" s="14" t="n">
        <v>5</v>
      </c>
      <c r="X4" s="14" t="n">
        <v>6</v>
      </c>
      <c r="Y4" s="14" t="n">
        <v>7</v>
      </c>
      <c r="Z4" s="14" t="n">
        <v>7</v>
      </c>
      <c r="AA4" s="14" t="n">
        <v>6</v>
      </c>
      <c r="AB4" s="14" t="n">
        <v>7</v>
      </c>
      <c r="AC4" s="14" t="n">
        <v>7</v>
      </c>
    </row>
    <row r="5" ht="24" customHeight="1">
      <c r="A5" s="9" t="inlineStr">
        <is>
          <t>นายมนัส รักงานระบบ (ตัวอย่าง)</t>
        </is>
      </c>
      <c r="B5" s="9" t="inlineStr">
        <is>
          <t>หัวหน้าทีมสนับสนุนบริการ</t>
        </is>
      </c>
      <c r="C5" s="10">
        <f>AVERAGE(K5:M5)</f>
        <v/>
      </c>
      <c r="D5" s="10">
        <f>AVERAGE(N5:P5)</f>
        <v/>
      </c>
      <c r="E5" s="10">
        <f>AVERAGE(Q5:S5)</f>
        <v/>
      </c>
      <c r="F5" s="10">
        <f>AVERAGE(T5:W5)</f>
        <v/>
      </c>
      <c r="G5" s="10">
        <f>AVERAGE(X5:Z5)</f>
        <v/>
      </c>
      <c r="H5" s="10">
        <f>AVERAGE(AA5:AC5)</f>
        <v/>
      </c>
      <c r="I5" s="11">
        <f>INDEX($C$2:$H$2, MATCH(MAX(C5:H5), C5:H5, 0))</f>
        <v/>
      </c>
      <c r="J5" s="12">
        <f>INDEX($C$2:$H$2, MATCH(MIN(C5:H5), C5:H5, 0))</f>
        <v/>
      </c>
      <c r="K5" s="13" t="n">
        <v>6</v>
      </c>
      <c r="L5" s="13" t="n">
        <v>6</v>
      </c>
      <c r="M5" s="13" t="n">
        <v>7</v>
      </c>
      <c r="N5" s="13" t="n">
        <v>5</v>
      </c>
      <c r="O5" s="13" t="n">
        <v>7</v>
      </c>
      <c r="P5" s="13" t="n">
        <v>6</v>
      </c>
      <c r="Q5" s="13" t="n">
        <v>7</v>
      </c>
      <c r="R5" s="13" t="n">
        <v>8</v>
      </c>
      <c r="S5" s="13" t="n">
        <v>7</v>
      </c>
      <c r="T5" s="13" t="n">
        <v>8</v>
      </c>
      <c r="U5" s="13" t="n">
        <v>8</v>
      </c>
      <c r="V5" s="13" t="n">
        <v>7</v>
      </c>
      <c r="W5" s="13" t="n">
        <v>6</v>
      </c>
      <c r="X5" s="13" t="n">
        <v>7</v>
      </c>
      <c r="Y5" s="13" t="n">
        <v>8</v>
      </c>
      <c r="Z5" s="13" t="n">
        <v>8</v>
      </c>
      <c r="AA5" s="13" t="n">
        <v>7</v>
      </c>
      <c r="AB5" s="13" t="n">
        <v>6</v>
      </c>
      <c r="AC5" s="13" t="n">
        <v>7</v>
      </c>
    </row>
    <row r="6" ht="24" customHeight="1">
      <c r="A6" s="15" t="inlineStr"/>
      <c r="B6" s="15" t="inlineStr"/>
      <c r="C6" s="10">
        <f>AVERAGE(K6:M6)</f>
        <v/>
      </c>
      <c r="D6" s="10">
        <f>AVERAGE(N6:P6)</f>
        <v/>
      </c>
      <c r="E6" s="10">
        <f>AVERAGE(Q6:S6)</f>
        <v/>
      </c>
      <c r="F6" s="10">
        <f>AVERAGE(T6:W6)</f>
        <v/>
      </c>
      <c r="G6" s="10">
        <f>AVERAGE(X6:Z6)</f>
        <v/>
      </c>
      <c r="H6" s="10">
        <f>AVERAGE(AA6:AC6)</f>
        <v/>
      </c>
      <c r="I6" s="11">
        <f>INDEX($C$2:$H$2, MATCH(MAX(C6:H6), C6:H6, 0))</f>
        <v/>
      </c>
      <c r="J6" s="12">
        <f>INDEX($C$2:$H$2, MATCH(MIN(C6:H6), C6:H6, 0))</f>
        <v/>
      </c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  <c r="AB6" s="16" t="inlineStr"/>
      <c r="AC6" s="16" t="inlineStr"/>
    </row>
    <row r="7" ht="24" customHeight="1">
      <c r="A7" s="15" t="inlineStr"/>
      <c r="B7" s="15" t="inlineStr"/>
      <c r="C7" s="10">
        <f>AVERAGE(K7:M7)</f>
        <v/>
      </c>
      <c r="D7" s="10">
        <f>AVERAGE(N7:P7)</f>
        <v/>
      </c>
      <c r="E7" s="10">
        <f>AVERAGE(Q7:S7)</f>
        <v/>
      </c>
      <c r="F7" s="10">
        <f>AVERAGE(T7:W7)</f>
        <v/>
      </c>
      <c r="G7" s="10">
        <f>AVERAGE(X7:Z7)</f>
        <v/>
      </c>
      <c r="H7" s="10">
        <f>AVERAGE(AA7:AC7)</f>
        <v/>
      </c>
      <c r="I7" s="11">
        <f>INDEX($C$2:$H$2, MATCH(MAX(C7:H7), C7:H7, 0))</f>
        <v/>
      </c>
      <c r="J7" s="12">
        <f>INDEX($C$2:$H$2, MATCH(MIN(C7:H7), C7:H7, 0))</f>
        <v/>
      </c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  <c r="AB7" s="16" t="inlineStr"/>
      <c r="AC7" s="16" t="inlineStr"/>
    </row>
    <row r="8" ht="24" customHeight="1">
      <c r="A8" s="15" t="inlineStr"/>
      <c r="B8" s="15" t="inlineStr"/>
      <c r="C8" s="10">
        <f>AVERAGE(K8:M8)</f>
        <v/>
      </c>
      <c r="D8" s="10">
        <f>AVERAGE(N8:P8)</f>
        <v/>
      </c>
      <c r="E8" s="10">
        <f>AVERAGE(Q8:S8)</f>
        <v/>
      </c>
      <c r="F8" s="10">
        <f>AVERAGE(T8:W8)</f>
        <v/>
      </c>
      <c r="G8" s="10">
        <f>AVERAGE(X8:Z8)</f>
        <v/>
      </c>
      <c r="H8" s="10">
        <f>AVERAGE(AA8:AC8)</f>
        <v/>
      </c>
      <c r="I8" s="11">
        <f>INDEX($C$2:$H$2, MATCH(MAX(C8:H8), C8:H8, 0))</f>
        <v/>
      </c>
      <c r="J8" s="12">
        <f>INDEX($C$2:$H$2, MATCH(MIN(C8:H8), C8:H8, 0))</f>
        <v/>
      </c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  <c r="AB8" s="16" t="inlineStr"/>
      <c r="AC8" s="16" t="inlineStr"/>
    </row>
    <row r="9" ht="24" customHeight="1">
      <c r="A9" s="15" t="inlineStr"/>
      <c r="B9" s="15" t="inlineStr"/>
      <c r="C9" s="10">
        <f>AVERAGE(K9:M9)</f>
        <v/>
      </c>
      <c r="D9" s="10">
        <f>AVERAGE(N9:P9)</f>
        <v/>
      </c>
      <c r="E9" s="10">
        <f>AVERAGE(Q9:S9)</f>
        <v/>
      </c>
      <c r="F9" s="10">
        <f>AVERAGE(T9:W9)</f>
        <v/>
      </c>
      <c r="G9" s="10">
        <f>AVERAGE(X9:Z9)</f>
        <v/>
      </c>
      <c r="H9" s="10">
        <f>AVERAGE(AA9:AC9)</f>
        <v/>
      </c>
      <c r="I9" s="11">
        <f>INDEX($C$2:$H$2, MATCH(MAX(C9:H9), C9:H9, 0))</f>
        <v/>
      </c>
      <c r="J9" s="12">
        <f>INDEX($C$2:$H$2, MATCH(MIN(C9:H9), C9:H9, 0))</f>
        <v/>
      </c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  <c r="AB9" s="16" t="inlineStr"/>
      <c r="AC9" s="16" t="inlineStr"/>
    </row>
    <row r="10" ht="24" customHeight="1">
      <c r="A10" s="15" t="inlineStr"/>
      <c r="B10" s="15" t="inlineStr"/>
      <c r="C10" s="10">
        <f>AVERAGE(K10:M10)</f>
        <v/>
      </c>
      <c r="D10" s="10">
        <f>AVERAGE(N10:P10)</f>
        <v/>
      </c>
      <c r="E10" s="10">
        <f>AVERAGE(Q10:S10)</f>
        <v/>
      </c>
      <c r="F10" s="10">
        <f>AVERAGE(T10:W10)</f>
        <v/>
      </c>
      <c r="G10" s="10">
        <f>AVERAGE(X10:Z10)</f>
        <v/>
      </c>
      <c r="H10" s="10">
        <f>AVERAGE(AA10:AC10)</f>
        <v/>
      </c>
      <c r="I10" s="11">
        <f>INDEX($C$2:$H$2, MATCH(MAX(C10:H10), C10:H10, 0))</f>
        <v/>
      </c>
      <c r="J10" s="12">
        <f>INDEX($C$2:$H$2, MATCH(MIN(C10:H10), C10:H10, 0))</f>
        <v/>
      </c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6" t="inlineStr"/>
      <c r="AC10" s="16" t="inlineStr"/>
    </row>
    <row r="11" ht="24" customHeight="1">
      <c r="A11" s="15" t="inlineStr"/>
      <c r="B11" s="15" t="inlineStr"/>
      <c r="C11" s="10">
        <f>AVERAGE(K11:M11)</f>
        <v/>
      </c>
      <c r="D11" s="10">
        <f>AVERAGE(N11:P11)</f>
        <v/>
      </c>
      <c r="E11" s="10">
        <f>AVERAGE(Q11:S11)</f>
        <v/>
      </c>
      <c r="F11" s="10">
        <f>AVERAGE(T11:W11)</f>
        <v/>
      </c>
      <c r="G11" s="10">
        <f>AVERAGE(X11:Z11)</f>
        <v/>
      </c>
      <c r="H11" s="10">
        <f>AVERAGE(AA11:AC11)</f>
        <v/>
      </c>
      <c r="I11" s="11">
        <f>INDEX($C$2:$H$2, MATCH(MAX(C11:H11), C11:H11, 0))</f>
        <v/>
      </c>
      <c r="J11" s="12">
        <f>INDEX($C$2:$H$2, MATCH(MIN(C11:H11), C11:H11, 0))</f>
        <v/>
      </c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  <c r="AB11" s="16" t="inlineStr"/>
      <c r="AC11" s="16" t="inlineStr"/>
    </row>
    <row r="12" ht="24" customHeight="1">
      <c r="A12" s="15" t="inlineStr"/>
      <c r="B12" s="15" t="inlineStr"/>
      <c r="C12" s="10">
        <f>AVERAGE(K12:M12)</f>
        <v/>
      </c>
      <c r="D12" s="10">
        <f>AVERAGE(N12:P12)</f>
        <v/>
      </c>
      <c r="E12" s="10">
        <f>AVERAGE(Q12:S12)</f>
        <v/>
      </c>
      <c r="F12" s="10">
        <f>AVERAGE(T12:W12)</f>
        <v/>
      </c>
      <c r="G12" s="10">
        <f>AVERAGE(X12:Z12)</f>
        <v/>
      </c>
      <c r="H12" s="10">
        <f>AVERAGE(AA12:AC12)</f>
        <v/>
      </c>
      <c r="I12" s="11">
        <f>INDEX($C$2:$H$2, MATCH(MAX(C12:H12), C12:H12, 0))</f>
        <v/>
      </c>
      <c r="J12" s="12">
        <f>INDEX($C$2:$H$2, MATCH(MIN(C12:H12), C12:H12, 0))</f>
        <v/>
      </c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16" t="inlineStr"/>
      <c r="AC12" s="16" t="inlineStr"/>
    </row>
    <row r="13" ht="24" customHeight="1">
      <c r="A13" s="15" t="inlineStr"/>
      <c r="B13" s="15" t="inlineStr"/>
      <c r="C13" s="10">
        <f>AVERAGE(K13:M13)</f>
        <v/>
      </c>
      <c r="D13" s="10">
        <f>AVERAGE(N13:P13)</f>
        <v/>
      </c>
      <c r="E13" s="10">
        <f>AVERAGE(Q13:S13)</f>
        <v/>
      </c>
      <c r="F13" s="10">
        <f>AVERAGE(T13:W13)</f>
        <v/>
      </c>
      <c r="G13" s="10">
        <f>AVERAGE(X13:Z13)</f>
        <v/>
      </c>
      <c r="H13" s="10">
        <f>AVERAGE(AA13:AC13)</f>
        <v/>
      </c>
      <c r="I13" s="11">
        <f>INDEX($C$2:$H$2, MATCH(MAX(C13:H13), C13:H13, 0))</f>
        <v/>
      </c>
      <c r="J13" s="12">
        <f>INDEX($C$2:$H$2, MATCH(MIN(C13:H13), C13:H13, 0))</f>
        <v/>
      </c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  <c r="AB13" s="16" t="inlineStr"/>
      <c r="AC13" s="16" t="inlineStr"/>
    </row>
    <row r="14" ht="24" customHeight="1">
      <c r="A14" s="15" t="inlineStr"/>
      <c r="B14" s="15" t="inlineStr"/>
      <c r="C14" s="10">
        <f>AVERAGE(K14:M14)</f>
        <v/>
      </c>
      <c r="D14" s="10">
        <f>AVERAGE(N14:P14)</f>
        <v/>
      </c>
      <c r="E14" s="10">
        <f>AVERAGE(Q14:S14)</f>
        <v/>
      </c>
      <c r="F14" s="10">
        <f>AVERAGE(T14:W14)</f>
        <v/>
      </c>
      <c r="G14" s="10">
        <f>AVERAGE(X14:Z14)</f>
        <v/>
      </c>
      <c r="H14" s="10">
        <f>AVERAGE(AA14:AC14)</f>
        <v/>
      </c>
      <c r="I14" s="11">
        <f>INDEX($C$2:$H$2, MATCH(MAX(C14:H14), C14:H14, 0))</f>
        <v/>
      </c>
      <c r="J14" s="12">
        <f>INDEX($C$2:$H$2, MATCH(MIN(C14:H14), C14:H14, 0))</f>
        <v/>
      </c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  <c r="AB14" s="16" t="inlineStr"/>
      <c r="AC14" s="16" t="inlineStr"/>
    </row>
    <row r="15" ht="24" customHeight="1">
      <c r="A15" s="15" t="inlineStr"/>
      <c r="B15" s="15" t="inlineStr"/>
      <c r="C15" s="10">
        <f>AVERAGE(K15:M15)</f>
        <v/>
      </c>
      <c r="D15" s="10">
        <f>AVERAGE(N15:P15)</f>
        <v/>
      </c>
      <c r="E15" s="10">
        <f>AVERAGE(Q15:S15)</f>
        <v/>
      </c>
      <c r="F15" s="10">
        <f>AVERAGE(T15:W15)</f>
        <v/>
      </c>
      <c r="G15" s="10">
        <f>AVERAGE(X15:Z15)</f>
        <v/>
      </c>
      <c r="H15" s="10">
        <f>AVERAGE(AA15:AC15)</f>
        <v/>
      </c>
      <c r="I15" s="11">
        <f>INDEX($C$2:$H$2, MATCH(MAX(C15:H15), C15:H15, 0))</f>
        <v/>
      </c>
      <c r="J15" s="12">
        <f>INDEX($C$2:$H$2, MATCH(MIN(C15:H15), C15:H15, 0))</f>
        <v/>
      </c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6" t="inlineStr"/>
      <c r="U15" s="16" t="inlineStr"/>
      <c r="V15" s="16" t="inlineStr"/>
      <c r="W15" s="16" t="inlineStr"/>
      <c r="X15" s="16" t="inlineStr"/>
      <c r="Y15" s="16" t="inlineStr"/>
      <c r="Z15" s="16" t="inlineStr"/>
      <c r="AA15" s="16" t="inlineStr"/>
      <c r="AB15" s="16" t="inlineStr"/>
      <c r="AC15" s="16" t="inlineStr"/>
    </row>
    <row r="16" ht="24" customHeight="1">
      <c r="A16" s="15" t="inlineStr"/>
      <c r="B16" s="15" t="inlineStr"/>
      <c r="C16" s="10">
        <f>AVERAGE(K16:M16)</f>
        <v/>
      </c>
      <c r="D16" s="10">
        <f>AVERAGE(N16:P16)</f>
        <v/>
      </c>
      <c r="E16" s="10">
        <f>AVERAGE(Q16:S16)</f>
        <v/>
      </c>
      <c r="F16" s="10">
        <f>AVERAGE(T16:W16)</f>
        <v/>
      </c>
      <c r="G16" s="10">
        <f>AVERAGE(X16:Z16)</f>
        <v/>
      </c>
      <c r="H16" s="10">
        <f>AVERAGE(AA16:AC16)</f>
        <v/>
      </c>
      <c r="I16" s="11">
        <f>INDEX($C$2:$H$2, MATCH(MAX(C16:H16), C16:H16, 0))</f>
        <v/>
      </c>
      <c r="J16" s="12">
        <f>INDEX($C$2:$H$2, MATCH(MIN(C16:H16), C16:H16, 0))</f>
        <v/>
      </c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6" t="inlineStr"/>
      <c r="U16" s="16" t="inlineStr"/>
      <c r="V16" s="16" t="inlineStr"/>
      <c r="W16" s="16" t="inlineStr"/>
      <c r="X16" s="16" t="inlineStr"/>
      <c r="Y16" s="16" t="inlineStr"/>
      <c r="Z16" s="16" t="inlineStr"/>
      <c r="AA16" s="16" t="inlineStr"/>
      <c r="AB16" s="16" t="inlineStr"/>
      <c r="AC16" s="16" t="inlineStr"/>
    </row>
    <row r="17" ht="24" customHeight="1">
      <c r="A17" s="15" t="inlineStr"/>
      <c r="B17" s="15" t="inlineStr"/>
      <c r="C17" s="10">
        <f>AVERAGE(K17:M17)</f>
        <v/>
      </c>
      <c r="D17" s="10">
        <f>AVERAGE(N17:P17)</f>
        <v/>
      </c>
      <c r="E17" s="10">
        <f>AVERAGE(Q17:S17)</f>
        <v/>
      </c>
      <c r="F17" s="10">
        <f>AVERAGE(T17:W17)</f>
        <v/>
      </c>
      <c r="G17" s="10">
        <f>AVERAGE(X17:Z17)</f>
        <v/>
      </c>
      <c r="H17" s="10">
        <f>AVERAGE(AA17:AC17)</f>
        <v/>
      </c>
      <c r="I17" s="11">
        <f>INDEX($C$2:$H$2, MATCH(MAX(C17:H17), C17:H17, 0))</f>
        <v/>
      </c>
      <c r="J17" s="12">
        <f>INDEX($C$2:$H$2, MATCH(MIN(C17:H17), C17:H17, 0))</f>
        <v/>
      </c>
      <c r="K17" s="16" t="inlineStr"/>
      <c r="L17" s="16" t="inlineStr"/>
      <c r="M17" s="16" t="inlineStr"/>
      <c r="N17" s="16" t="inlineStr"/>
      <c r="O17" s="16" t="inlineStr"/>
      <c r="P17" s="16" t="inlineStr"/>
      <c r="Q17" s="16" t="inlineStr"/>
      <c r="R17" s="16" t="inlineStr"/>
      <c r="S17" s="16" t="inlineStr"/>
      <c r="T17" s="16" t="inlineStr"/>
      <c r="U17" s="16" t="inlineStr"/>
      <c r="V17" s="16" t="inlineStr"/>
      <c r="W17" s="16" t="inlineStr"/>
      <c r="X17" s="16" t="inlineStr"/>
      <c r="Y17" s="16" t="inlineStr"/>
      <c r="Z17" s="16" t="inlineStr"/>
      <c r="AA17" s="16" t="inlineStr"/>
      <c r="AB17" s="16" t="inlineStr"/>
      <c r="AC17" s="16" t="inlineStr"/>
    </row>
    <row r="18" ht="24" customHeight="1">
      <c r="A18" s="15" t="inlineStr"/>
      <c r="B18" s="15" t="inlineStr"/>
      <c r="C18" s="10">
        <f>AVERAGE(K18:M18)</f>
        <v/>
      </c>
      <c r="D18" s="10">
        <f>AVERAGE(N18:P18)</f>
        <v/>
      </c>
      <c r="E18" s="10">
        <f>AVERAGE(Q18:S18)</f>
        <v/>
      </c>
      <c r="F18" s="10">
        <f>AVERAGE(T18:W18)</f>
        <v/>
      </c>
      <c r="G18" s="10">
        <f>AVERAGE(X18:Z18)</f>
        <v/>
      </c>
      <c r="H18" s="10">
        <f>AVERAGE(AA18:AC18)</f>
        <v/>
      </c>
      <c r="I18" s="11">
        <f>INDEX($C$2:$H$2, MATCH(MAX(C18:H18), C18:H18, 0))</f>
        <v/>
      </c>
      <c r="J18" s="12">
        <f>INDEX($C$2:$H$2, MATCH(MIN(C18:H18), C18:H18, 0))</f>
        <v/>
      </c>
      <c r="K18" s="16" t="inlineStr"/>
      <c r="L18" s="16" t="inlineStr"/>
      <c r="M18" s="16" t="inlineStr"/>
      <c r="N18" s="16" t="inlineStr"/>
      <c r="O18" s="16" t="inlineStr"/>
      <c r="P18" s="16" t="inlineStr"/>
      <c r="Q18" s="16" t="inlineStr"/>
      <c r="R18" s="16" t="inlineStr"/>
      <c r="S18" s="16" t="inlineStr"/>
      <c r="T18" s="16" t="inlineStr"/>
      <c r="U18" s="16" t="inlineStr"/>
      <c r="V18" s="16" t="inlineStr"/>
      <c r="W18" s="16" t="inlineStr"/>
      <c r="X18" s="16" t="inlineStr"/>
      <c r="Y18" s="16" t="inlineStr"/>
      <c r="Z18" s="16" t="inlineStr"/>
      <c r="AA18" s="16" t="inlineStr"/>
      <c r="AB18" s="16" t="inlineStr"/>
      <c r="AC18" s="16" t="inlineStr"/>
    </row>
    <row r="19" ht="24" customHeight="1">
      <c r="A19" s="15" t="inlineStr"/>
      <c r="B19" s="15" t="inlineStr"/>
      <c r="C19" s="10">
        <f>AVERAGE(K19:M19)</f>
        <v/>
      </c>
      <c r="D19" s="10">
        <f>AVERAGE(N19:P19)</f>
        <v/>
      </c>
      <c r="E19" s="10">
        <f>AVERAGE(Q19:S19)</f>
        <v/>
      </c>
      <c r="F19" s="10">
        <f>AVERAGE(T19:W19)</f>
        <v/>
      </c>
      <c r="G19" s="10">
        <f>AVERAGE(X19:Z19)</f>
        <v/>
      </c>
      <c r="H19" s="10">
        <f>AVERAGE(AA19:AC19)</f>
        <v/>
      </c>
      <c r="I19" s="11">
        <f>INDEX($C$2:$H$2, MATCH(MAX(C19:H19), C19:H19, 0))</f>
        <v/>
      </c>
      <c r="J19" s="12">
        <f>INDEX($C$2:$H$2, MATCH(MIN(C19:H19), C19:H19, 0))</f>
        <v/>
      </c>
      <c r="K19" s="16" t="inlineStr"/>
      <c r="L19" s="16" t="inlineStr"/>
      <c r="M19" s="16" t="inlineStr"/>
      <c r="N19" s="16" t="inlineStr"/>
      <c r="O19" s="16" t="inlineStr"/>
      <c r="P19" s="16" t="inlineStr"/>
      <c r="Q19" s="16" t="inlineStr"/>
      <c r="R19" s="16" t="inlineStr"/>
      <c r="S19" s="16" t="inlineStr"/>
      <c r="T19" s="16" t="inlineStr"/>
      <c r="U19" s="16" t="inlineStr"/>
      <c r="V19" s="16" t="inlineStr"/>
      <c r="W19" s="16" t="inlineStr"/>
      <c r="X19" s="16" t="inlineStr"/>
      <c r="Y19" s="16" t="inlineStr"/>
      <c r="Z19" s="16" t="inlineStr"/>
      <c r="AA19" s="16" t="inlineStr"/>
      <c r="AB19" s="16" t="inlineStr"/>
      <c r="AC19" s="16" t="inlineStr"/>
    </row>
    <row r="20" ht="24" customHeight="1">
      <c r="A20" s="15" t="inlineStr"/>
      <c r="B20" s="15" t="inlineStr"/>
      <c r="C20" s="10">
        <f>AVERAGE(K20:M20)</f>
        <v/>
      </c>
      <c r="D20" s="10">
        <f>AVERAGE(N20:P20)</f>
        <v/>
      </c>
      <c r="E20" s="10">
        <f>AVERAGE(Q20:S20)</f>
        <v/>
      </c>
      <c r="F20" s="10">
        <f>AVERAGE(T20:W20)</f>
        <v/>
      </c>
      <c r="G20" s="10">
        <f>AVERAGE(X20:Z20)</f>
        <v/>
      </c>
      <c r="H20" s="10">
        <f>AVERAGE(AA20:AC20)</f>
        <v/>
      </c>
      <c r="I20" s="11">
        <f>INDEX($C$2:$H$2, MATCH(MAX(C20:H20), C20:H20, 0))</f>
        <v/>
      </c>
      <c r="J20" s="12">
        <f>INDEX($C$2:$H$2, MATCH(MIN(C20:H20), C20:H20, 0))</f>
        <v/>
      </c>
      <c r="K20" s="16" t="inlineStr"/>
      <c r="L20" s="16" t="inlineStr"/>
      <c r="M20" s="16" t="inlineStr"/>
      <c r="N20" s="16" t="inlineStr"/>
      <c r="O20" s="16" t="inlineStr"/>
      <c r="P20" s="16" t="inlineStr"/>
      <c r="Q20" s="16" t="inlineStr"/>
      <c r="R20" s="16" t="inlineStr"/>
      <c r="S20" s="16" t="inlineStr"/>
      <c r="T20" s="16" t="inlineStr"/>
      <c r="U20" s="16" t="inlineStr"/>
      <c r="V20" s="16" t="inlineStr"/>
      <c r="W20" s="16" t="inlineStr"/>
      <c r="X20" s="16" t="inlineStr"/>
      <c r="Y20" s="16" t="inlineStr"/>
      <c r="Z20" s="16" t="inlineStr"/>
      <c r="AA20" s="16" t="inlineStr"/>
      <c r="AB20" s="16" t="inlineStr"/>
      <c r="AC20" s="16" t="inlineStr"/>
    </row>
    <row r="21" ht="24" customHeight="1">
      <c r="A21" s="15" t="inlineStr"/>
      <c r="B21" s="15" t="inlineStr"/>
      <c r="C21" s="10">
        <f>AVERAGE(K21:M21)</f>
        <v/>
      </c>
      <c r="D21" s="10">
        <f>AVERAGE(N21:P21)</f>
        <v/>
      </c>
      <c r="E21" s="10">
        <f>AVERAGE(Q21:S21)</f>
        <v/>
      </c>
      <c r="F21" s="10">
        <f>AVERAGE(T21:W21)</f>
        <v/>
      </c>
      <c r="G21" s="10">
        <f>AVERAGE(X21:Z21)</f>
        <v/>
      </c>
      <c r="H21" s="10">
        <f>AVERAGE(AA21:AC21)</f>
        <v/>
      </c>
      <c r="I21" s="11">
        <f>INDEX($C$2:$H$2, MATCH(MAX(C21:H21), C21:H21, 0))</f>
        <v/>
      </c>
      <c r="J21" s="12">
        <f>INDEX($C$2:$H$2, MATCH(MIN(C21:H21), C21:H21, 0))</f>
        <v/>
      </c>
      <c r="K21" s="16" t="inlineStr"/>
      <c r="L21" s="16" t="inlineStr"/>
      <c r="M21" s="16" t="inlineStr"/>
      <c r="N21" s="16" t="inlineStr"/>
      <c r="O21" s="16" t="inlineStr"/>
      <c r="P21" s="16" t="inlineStr"/>
      <c r="Q21" s="16" t="inlineStr"/>
      <c r="R21" s="16" t="inlineStr"/>
      <c r="S21" s="16" t="inlineStr"/>
      <c r="T21" s="16" t="inlineStr"/>
      <c r="U21" s="16" t="inlineStr"/>
      <c r="V21" s="16" t="inlineStr"/>
      <c r="W21" s="16" t="inlineStr"/>
      <c r="X21" s="16" t="inlineStr"/>
      <c r="Y21" s="16" t="inlineStr"/>
      <c r="Z21" s="16" t="inlineStr"/>
      <c r="AA21" s="16" t="inlineStr"/>
      <c r="AB21" s="16" t="inlineStr"/>
      <c r="AC21" s="16" t="inlineStr"/>
    </row>
    <row r="22" ht="24" customHeight="1">
      <c r="A22" s="15" t="inlineStr"/>
      <c r="B22" s="15" t="inlineStr"/>
      <c r="C22" s="10">
        <f>AVERAGE(K22:M22)</f>
        <v/>
      </c>
      <c r="D22" s="10">
        <f>AVERAGE(N22:P22)</f>
        <v/>
      </c>
      <c r="E22" s="10">
        <f>AVERAGE(Q22:S22)</f>
        <v/>
      </c>
      <c r="F22" s="10">
        <f>AVERAGE(T22:W22)</f>
        <v/>
      </c>
      <c r="G22" s="10">
        <f>AVERAGE(X22:Z22)</f>
        <v/>
      </c>
      <c r="H22" s="10">
        <f>AVERAGE(AA22:AC22)</f>
        <v/>
      </c>
      <c r="I22" s="11">
        <f>INDEX($C$2:$H$2, MATCH(MAX(C22:H22), C22:H22, 0))</f>
        <v/>
      </c>
      <c r="J22" s="12">
        <f>INDEX($C$2:$H$2, MATCH(MIN(C22:H22), C22:H22, 0))</f>
        <v/>
      </c>
      <c r="K22" s="16" t="inlineStr"/>
      <c r="L22" s="16" t="inlineStr"/>
      <c r="M22" s="16" t="inlineStr"/>
      <c r="N22" s="16" t="inlineStr"/>
      <c r="O22" s="16" t="inlineStr"/>
      <c r="P22" s="16" t="inlineStr"/>
      <c r="Q22" s="16" t="inlineStr"/>
      <c r="R22" s="16" t="inlineStr"/>
      <c r="S22" s="16" t="inlineStr"/>
      <c r="T22" s="16" t="inlineStr"/>
      <c r="U22" s="16" t="inlineStr"/>
      <c r="V22" s="16" t="inlineStr"/>
      <c r="W22" s="16" t="inlineStr"/>
      <c r="X22" s="16" t="inlineStr"/>
      <c r="Y22" s="16" t="inlineStr"/>
      <c r="Z22" s="16" t="inlineStr"/>
      <c r="AA22" s="16" t="inlineStr"/>
      <c r="AB22" s="16" t="inlineStr"/>
      <c r="AC22" s="16" t="inlineStr"/>
    </row>
    <row r="23" ht="24" customHeight="1">
      <c r="A23" s="15" t="inlineStr"/>
      <c r="B23" s="15" t="inlineStr"/>
      <c r="C23" s="10">
        <f>AVERAGE(K23:M23)</f>
        <v/>
      </c>
      <c r="D23" s="10">
        <f>AVERAGE(N23:P23)</f>
        <v/>
      </c>
      <c r="E23" s="10">
        <f>AVERAGE(Q23:S23)</f>
        <v/>
      </c>
      <c r="F23" s="10">
        <f>AVERAGE(T23:W23)</f>
        <v/>
      </c>
      <c r="G23" s="10">
        <f>AVERAGE(X23:Z23)</f>
        <v/>
      </c>
      <c r="H23" s="10">
        <f>AVERAGE(AA23:AC23)</f>
        <v/>
      </c>
      <c r="I23" s="11">
        <f>INDEX($C$2:$H$2, MATCH(MAX(C23:H23), C23:H23, 0))</f>
        <v/>
      </c>
      <c r="J23" s="12">
        <f>INDEX($C$2:$H$2, MATCH(MIN(C23:H23), C23:H23, 0))</f>
        <v/>
      </c>
      <c r="K23" s="16" t="inlineStr"/>
      <c r="L23" s="16" t="inlineStr"/>
      <c r="M23" s="16" t="inlineStr"/>
      <c r="N23" s="16" t="inlineStr"/>
      <c r="O23" s="16" t="inlineStr"/>
      <c r="P23" s="16" t="inlineStr"/>
      <c r="Q23" s="16" t="inlineStr"/>
      <c r="R23" s="16" t="inlineStr"/>
      <c r="S23" s="16" t="inlineStr"/>
      <c r="T23" s="16" t="inlineStr"/>
      <c r="U23" s="16" t="inlineStr"/>
      <c r="V23" s="16" t="inlineStr"/>
      <c r="W23" s="16" t="inlineStr"/>
      <c r="X23" s="16" t="inlineStr"/>
      <c r="Y23" s="16" t="inlineStr"/>
      <c r="Z23" s="16" t="inlineStr"/>
      <c r="AA23" s="16" t="inlineStr"/>
      <c r="AB23" s="16" t="inlineStr"/>
      <c r="AC23" s="16" t="inlineStr"/>
    </row>
    <row r="24" ht="24" customHeight="1">
      <c r="A24" s="15" t="inlineStr"/>
      <c r="B24" s="15" t="inlineStr"/>
      <c r="C24" s="10">
        <f>AVERAGE(K24:M24)</f>
        <v/>
      </c>
      <c r="D24" s="10">
        <f>AVERAGE(N24:P24)</f>
        <v/>
      </c>
      <c r="E24" s="10">
        <f>AVERAGE(Q24:S24)</f>
        <v/>
      </c>
      <c r="F24" s="10">
        <f>AVERAGE(T24:W24)</f>
        <v/>
      </c>
      <c r="G24" s="10">
        <f>AVERAGE(X24:Z24)</f>
        <v/>
      </c>
      <c r="H24" s="10">
        <f>AVERAGE(AA24:AC24)</f>
        <v/>
      </c>
      <c r="I24" s="11">
        <f>INDEX($C$2:$H$2, MATCH(MAX(C24:H24), C24:H24, 0))</f>
        <v/>
      </c>
      <c r="J24" s="12">
        <f>INDEX($C$2:$H$2, MATCH(MIN(C24:H24), C24:H24, 0))</f>
        <v/>
      </c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  <c r="V24" s="16" t="inlineStr"/>
      <c r="W24" s="16" t="inlineStr"/>
      <c r="X24" s="16" t="inlineStr"/>
      <c r="Y24" s="16" t="inlineStr"/>
      <c r="Z24" s="16" t="inlineStr"/>
      <c r="AA24" s="16" t="inlineStr"/>
      <c r="AB24" s="16" t="inlineStr"/>
      <c r="AC24" s="16" t="inlineStr"/>
    </row>
    <row r="25" ht="24" customHeight="1">
      <c r="A25" s="15" t="inlineStr"/>
      <c r="B25" s="15" t="inlineStr"/>
      <c r="C25" s="10">
        <f>AVERAGE(K25:M25)</f>
        <v/>
      </c>
      <c r="D25" s="10">
        <f>AVERAGE(N25:P25)</f>
        <v/>
      </c>
      <c r="E25" s="10">
        <f>AVERAGE(Q25:S25)</f>
        <v/>
      </c>
      <c r="F25" s="10">
        <f>AVERAGE(T25:W25)</f>
        <v/>
      </c>
      <c r="G25" s="10">
        <f>AVERAGE(X25:Z25)</f>
        <v/>
      </c>
      <c r="H25" s="10">
        <f>AVERAGE(AA25:AC25)</f>
        <v/>
      </c>
      <c r="I25" s="11">
        <f>INDEX($C$2:$H$2, MATCH(MAX(C25:H25), C25:H25, 0))</f>
        <v/>
      </c>
      <c r="J25" s="12">
        <f>INDEX($C$2:$H$2, MATCH(MIN(C25:H25), C25:H25, 0))</f>
        <v/>
      </c>
      <c r="K25" s="16" t="inlineStr"/>
      <c r="L25" s="16" t="inlineStr"/>
      <c r="M25" s="16" t="inlineStr"/>
      <c r="N25" s="16" t="inlineStr"/>
      <c r="O25" s="16" t="inlineStr"/>
      <c r="P25" s="16" t="inlineStr"/>
      <c r="Q25" s="16" t="inlineStr"/>
      <c r="R25" s="16" t="inlineStr"/>
      <c r="S25" s="16" t="inlineStr"/>
      <c r="T25" s="16" t="inlineStr"/>
      <c r="U25" s="16" t="inlineStr"/>
      <c r="V25" s="16" t="inlineStr"/>
      <c r="W25" s="16" t="inlineStr"/>
      <c r="X25" s="16" t="inlineStr"/>
      <c r="Y25" s="16" t="inlineStr"/>
      <c r="Z25" s="16" t="inlineStr"/>
      <c r="AA25" s="16" t="inlineStr"/>
      <c r="AB25" s="16" t="inlineStr"/>
      <c r="AC25" s="16" t="inlineStr"/>
    </row>
  </sheetData>
  <mergeCells count="1">
    <mergeCell ref="A1:AC1"/>
  </mergeCells>
  <dataValidations count="1">
    <dataValidation sqref="K3:AC25" showDropDown="0" showInputMessage="0" showErrorMessage="0" allowBlank="1" errorTitle="คะแนนไม่ถูกต้อง" error="กรุณากรอกเฉพาะคะแนน 1 ถึง 10 เท่านั้น" promptTitle="กรอกคะแนน 1-10" prompt="กรอกคะแนนพฤติกรรมจริง (1-10)" type="whole" operator="between">
      <formula1>1</formula1>
      <formula2>10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0" customWidth="1" min="3" max="3"/>
    <col width="38" customWidth="1" min="4" max="4"/>
    <col width="38" customWidth="1" min="5" max="5"/>
    <col width="38" customWidth="1" min="6" max="6"/>
    <col width="45" customWidth="1" min="7" max="7"/>
  </cols>
  <sheetData>
    <row r="1" ht="40" customHeight="1">
      <c r="A1" s="1" t="inlineStr">
        <is>
          <t>คู่มือเกณฑ์ประเมินผลพฤติกรรม (Behavioral Rubric) ตามระดับคะแนนใหม่</t>
        </is>
      </c>
    </row>
    <row r="2" ht="30" customHeight="1">
      <c r="A2" s="17" t="inlineStr">
        <is>
          <t>ค่าสเตตัส</t>
        </is>
      </c>
      <c r="B2" s="17" t="inlineStr">
        <is>
          <t>รหัส</t>
        </is>
      </c>
      <c r="C2" s="17" t="inlineStr">
        <is>
          <t>หัวข้อย่อยในการประเมิน</t>
        </is>
      </c>
      <c r="D2" s="17" t="inlineStr">
        <is>
          <t>ระดับพื้นฐาน (1-3)</t>
        </is>
      </c>
      <c r="E2" s="17" t="inlineStr">
        <is>
          <t>ระดับปานกลาง (4-5)</t>
        </is>
      </c>
      <c r="F2" s="17" t="inlineStr">
        <is>
          <t>ระดับมาตรฐาน (6)</t>
        </is>
      </c>
      <c r="G2" s="17" t="inlineStr">
        <is>
          <t>ระดับสูง (7-8) / ระดับเชี่ยวชาญ (9-10)</t>
        </is>
      </c>
    </row>
    <row r="3" ht="42" customHeight="1">
      <c r="A3" s="18" t="inlineStr">
        <is>
          <t>STR (Strength)
พลังผลักดันหน้างาน</t>
        </is>
      </c>
      <c r="B3" s="18" t="inlineStr">
        <is>
          <t>STR1</t>
        </is>
      </c>
      <c r="C3" s="19" t="inlineStr">
        <is>
          <t>ความเด็ดขาดในการแก้ปัญหา
(Decision Making)</t>
        </is>
      </c>
      <c r="D3" s="19" t="inlineStr">
        <is>
          <t>ลังเล ไม่กล้าตัดสินใจแก้ปัญหาด้วยตัวเอง แม้เป็นเรื่องง่าย ต้องรอถามหัวหน้างานตลอด</t>
        </is>
      </c>
      <c r="E3" s="19" t="inlineStr">
        <is>
          <t>ตัดสินใจเรื่องทั่วไปได้เองตามกฎระเบียบ แต่ถ้ามีข้อขัดแย้งหน้างานยังรวน ต้องให้ช่วยสั่งการ</t>
        </is>
      </c>
      <c r="F3" s="19" t="inlineStr">
        <is>
          <t>ตัดสินใจแก้ปัญหาระดับปกติหน้างานได้เฉียบขาด ถูกต้องตามขอบเขตงานและรักษามาตรฐานแบรนด์</t>
        </is>
      </c>
      <c r="G3" s="19" t="inlineStr">
        <is>
          <t>แก้เคสซับซ้อน/ขัดแย้งกับผู้รับเหมาและดีลเลอร์จบได้ทันทีด้วยตัวเอง และสอนให้ทีมแก้ตามได้</t>
        </is>
      </c>
    </row>
    <row r="4" ht="42" customHeight="1">
      <c r="A4" s="20" t="n"/>
      <c r="B4" s="18" t="inlineStr">
        <is>
          <t>STR2</t>
        </is>
      </c>
      <c r="C4" s="19" t="inlineStr">
        <is>
          <t>อัตราการปิดเคสยาก
(Case Closure)</t>
        </is>
      </c>
      <c r="D4" s="19" t="inlineStr">
        <is>
          <t>มักปล่อยผ่านเคสยาก หลีกเลี่ยงปัญหาซับซ้อน ส่งผลให้เคสสะสมค้างคาจนลูกค้าร้องเรียน</t>
        </is>
      </c>
      <c r="E4" s="19" t="inlineStr">
        <is>
          <t>ปิดเคสซับซ้อนทั่วไปได้ดีตามระเบียบ แต่เมื่อเจอเคสอารมณ์รุนแรงหรือขั้นตอนซ้อนมักต้องการการดูแล</t>
        </is>
      </c>
      <c r="F4" s="19" t="inlineStr">
        <is>
          <t>ติดตามเคสซับซ้อนสูงจนปิดเคสได้ราบรื่นตามมาตรฐานเวลา และลูกค้าไม่มีข้อโต้แย้งภายหลัง</t>
        </is>
      </c>
      <c r="G4" s="19" t="inlineStr">
        <is>
          <t>แก้ไขและปิดเคสวิกฤต (VIP/ร้องเรียนขั้นสุด) ด้วยกลยุทธ์ที่ล้ำลึก ช่วยพลิกวิกฤตให้เป็นความเชื่อมั่น</t>
        </is>
      </c>
    </row>
    <row r="5" ht="42" customHeight="1">
      <c r="A5" s="21" t="n"/>
      <c r="B5" s="18" t="inlineStr">
        <is>
          <t>STR3</t>
        </is>
      </c>
      <c r="C5" s="19" t="inlineStr">
        <is>
          <t>การควบคุมผลงานช่าง/ผู้รับเหมา
(Site &amp; Subcontractor Control)</t>
        </is>
      </c>
      <c r="D5" s="19" t="inlineStr">
        <is>
          <t>ปล่อยปละละเลยหน้างาน ไม่ตรวจความประพฤติช่าง ปล่อยให้สร้างความเดือดร้อนในพื้นที่ลูกค้า</t>
        </is>
      </c>
      <c r="E5" s="19" t="inlineStr">
        <is>
          <t>คุมช่างให้ทำตามแบบได้ตามมาตรฐานทั่วไป แต่หากมีงานเพิ่ม/ลด หน้างานหรือช่างดื้อรั้นยังตามไม่ทัน</t>
        </is>
      </c>
      <c r="F5" s="19" t="inlineStr">
        <is>
          <t>ควบคุมช่างทำงานเสร็จเป๊ะตามงวดงาน มารยาทและกฎความปลอดภัยไม่มีหลุดหน้างาน</t>
        </is>
      </c>
      <c r="G5" s="19" t="inlineStr">
        <is>
          <t>ควบคุมคุณภาพงานซ่อมของผู้รับเหมาได้เนี๊ยบระดับแชมป์ ปรับเปลี่ยนแผนคุมงานเมื่อเกิดเหตุไม่คาดคิดได้ฉลุย</t>
        </is>
      </c>
    </row>
    <row r="6" ht="42" customHeight="1">
      <c r="A6" s="18" t="inlineStr">
        <is>
          <t>AGI (Agility)
ความรวดเร็วและปรับตัว</t>
        </is>
      </c>
      <c r="B6" s="18" t="inlineStr">
        <is>
          <t>AGI1</t>
        </is>
      </c>
      <c r="C6" s="19" t="inlineStr">
        <is>
          <t>ความรวดเร็วในการตอบสนอง
(First Response)</t>
        </is>
      </c>
      <c r="D6" s="19" t="inlineStr">
        <is>
          <t>ตอบรับงานล่าช้า ปล่อยให้ลูกค้าหรือทีมรอสาย/รอการประสานงานเกินกว่าเวลาที่สมควรมาก</t>
        </is>
      </c>
      <c r="E6" s="19" t="inlineStr">
        <is>
          <t>ประสานงานส่งต่อเรื่องได้รวดเร็วในระดับปกติ แต่ช่วงงานล้นมือยังคีย์ข้อมูลหรือจ่ายงานล่าช้า</t>
        </is>
      </c>
      <c r="F6" s="19" t="inlineStr">
        <is>
          <t>รับเรื่อง ประสานงานส่งต่อ หรือวิเคราะห์เบื้องต้นเพื่อกระจายงานต่อทันทีตามกรอบเวลามาตรฐาน</t>
        </is>
      </c>
      <c r="G6" s="19" t="inlineStr">
        <is>
          <t>ตอบสนองและรันกระบวนการส่งต่อเคสได้ไวเยี่ยม ตรวจสอบความถูกต้องล่วงหน้าเพื่อลดปัญหาตีกลับ</t>
        </is>
      </c>
    </row>
    <row r="7" ht="42" customHeight="1">
      <c r="A7" s="20" t="n"/>
      <c r="B7" s="18" t="inlineStr">
        <is>
          <t>AGI2</t>
        </is>
      </c>
      <c r="C7" s="19" t="inlineStr">
        <is>
          <t>ความไวในการจัดการเหตุฉุกเฉิน</t>
        </is>
      </c>
      <c r="D7" s="19" t="inlineStr">
        <is>
          <t>ละเลยเคสฉุกเฉินระดับสูงหน้างาน (เช่น น้ำรั่ว ไฟดับ) ไม่ให้ความสำคัญตามระดับความเร่งด่วน</t>
        </is>
      </c>
      <c r="E7" s="19" t="inlineStr">
        <is>
          <t>เข้าถึงจุดเกิดเหตุหรือประสานช่างเข้าช่วยเคสฉุกเฉินได้ แต่อาจขาดมาตรการลดความสูญเสียชั่วคราว</t>
        </is>
      </c>
      <c r="F7" s="19" t="inlineStr">
        <is>
          <t>เข้าจัดระเบียบหน้างานและควบคุมสถานการณ์เคสฉุกเฉินได้ทันเวลา ป้องกันความเสียหายลุกลามสำเร็จ</t>
        </is>
      </c>
      <c r="G7" s="19" t="inlineStr">
        <is>
          <t>บริหารหน้างานในวิกฤตฉุกเฉินสูงสุดได้อย่างมีสติ รวดเร็ว จัดระบบช่วยเหลือเป็นขั้นตอนอย่างเป็นมืออาชีพ</t>
        </is>
      </c>
    </row>
    <row r="8" ht="42" customHeight="1">
      <c r="A8" s="21" t="n"/>
      <c r="B8" s="18" t="inlineStr">
        <is>
          <t>AGI3</t>
        </is>
      </c>
      <c r="C8" s="19" t="inlineStr">
        <is>
          <t>ความยืดหยุ่นในการปรับแผน
(Adaptability)</t>
        </is>
      </c>
      <c r="D8" s="19" t="inlineStr">
        <is>
          <t>ยึดติดกับคิวงานเดิม ไม่ยอมปรับเปลี่ยนแผนงานแม้พนักงานคนอื่นขาดงานหรือมีเหตุขัดข้องกะทันหัน</t>
        </is>
      </c>
      <c r="E8" s="19" t="inlineStr">
        <is>
          <t>ยอมปรับแผนตามหัวหน้าสั่งการได้ แต่ใช้เวลาเตรียมตัวและจัดเส้นทางงานใหม่ค่อนข้างช้า</t>
        </is>
      </c>
      <c r="F8" s="19" t="inlineStr">
        <is>
          <t>จัดลำดับความสำคัญของคิวงานและทรัพยากรใหม่ทันทีเมื่อเกิดเหตุขัดแย้ง ยืดหยุ่นแต่ไม่หลุดงานหลัก</t>
        </is>
      </c>
      <c r="G8" s="19" t="inlineStr">
        <is>
          <t>มองหาแผนสำรอง (Plan B) คู่อยู่เสมอ ปรับทีมตอบสนองได้แบบ Real-time โดยประสิทธิภาพโดยรวมไม่ลด</t>
        </is>
      </c>
    </row>
    <row r="9" ht="42" customHeight="1">
      <c r="A9" s="18" t="inlineStr">
        <is>
          <t>DEX (Dexterity)
ความแม่นยำและเป๊ะ</t>
        </is>
      </c>
      <c r="B9" s="18" t="inlineStr">
        <is>
          <t>DEX1</t>
        </is>
      </c>
      <c r="C9" s="19" t="inlineStr">
        <is>
          <t>ความถูกต้องของข้อมูล
(Zero Error)</t>
        </is>
      </c>
      <c r="D9" s="19" t="inlineStr">
        <is>
          <t>คีย์ข้อมูลในระบบผิดพลาดบ่อยครั้ง แจ้งข้อตกลงสัญญาหรือนัดหมายคลาดเคลื่อน สร้างภาระให้ส่วนงานอื่น</t>
        </is>
      </c>
      <c r="E9" s="19" t="inlineStr">
        <is>
          <t>ตรวจสอบเอกสารสัญญาและข้อมูลทั่วไปได้ถูกต้องเป็นส่วนใหญ่ แต่ข้อมูลเทคนิคเชิงลึกยังมีผิดพลาดบ้าง</t>
        </is>
      </c>
      <c r="F9" s="19" t="inlineStr">
        <is>
          <t>บันทึกข้อมูลและส่งมอบเอกสารต่างๆ ได้ถูกต้องครบถ้วน 100% ปราศจากความผิดพลาดตามเกณฑ์มาตรฐาน</t>
        </is>
      </c>
      <c r="G9" s="19" t="inlineStr">
        <is>
          <t>เป็นหูเป็นตาตรวจสอบข้อมูลของแผนกอื่น ป้องกันความเสียหายทางกฎหมายหรือเงื่อนไขสัญญาได้ก่อนล่วงหน้า</t>
        </is>
      </c>
    </row>
    <row r="10" ht="42" customHeight="1">
      <c r="A10" s="20" t="n"/>
      <c r="B10" s="18" t="inlineStr">
        <is>
          <t>DEX2</t>
        </is>
      </c>
      <c r="C10" s="19" t="inlineStr">
        <is>
          <t>ความละเอียดในการตรวจงาน
(QC Precision)</t>
        </is>
      </c>
      <c r="D10" s="19" t="inlineStr">
        <is>
          <t>ตรวจรับงานซ่อมแบบลวกๆ ปล่อยผ่านจุดบกพร่อง (Defect) หลายจุด ลูกค้าต้องแจ้งเคลมซ้ำในเรื่องเดิม</t>
        </is>
      </c>
      <c r="E10" s="19" t="inlineStr">
        <is>
          <t>ตรวจดีเฟกต์หลักๆ ได้ดีตามเช็คลิสต์ แต่จุดที่ซ่อนอยู่อย่างงานระบบท่อ ไฟฟ้า ใต้ดิน ยังสังเกตข้ามไป</t>
        </is>
      </c>
      <c r="F10" s="19" t="inlineStr">
        <is>
          <t>ประเมินและตรวจรับงานดีเฟกต์ได้ครบถ้วน ละเอียดละออ ปราศจากงานชุ่ยผ่านสายตาตามคู่มือเทคนิค</t>
        </is>
      </c>
      <c r="G10" s="19" t="inlineStr">
        <is>
          <t>มองขาดทุกดีเฟกต์ ออกแบบเช็คลิสต์การตรวจงานแบบใหม่ที่ช่วยยกระดับฝีมือช่างทั้งโครงการให้สูงขึ้น</t>
        </is>
      </c>
    </row>
    <row r="11" ht="42" customHeight="1">
      <c r="A11" s="21" t="n"/>
      <c r="B11" s="18" t="inlineStr">
        <is>
          <t>DEX3</t>
        </is>
      </c>
      <c r="C11" s="19" t="inlineStr">
        <is>
          <t>การรักษามาตรฐานเวลา
(SLA &amp; Compliance)</t>
        </is>
      </c>
      <c r="D11" s="19" t="inlineStr">
        <is>
          <t>ทำงานตกเกณฑ์ SLA บ่อยครั้งโดยไม่มีเหตุผลอันควร ละเลยกฎระเบียบและข้อบังคับของบริษัทในการส่งมอบงาน</t>
        </is>
      </c>
      <c r="E11" s="19" t="inlineStr">
        <is>
          <t>รักษาเวลาและปฏิบัติตามระเบียบได้ส่วนใหญ่ แต่ช่วงโปรเจกต์กระชั้นชิดมักจะรักษาคุณภาพควบคู่เวลาไม่ได้</t>
        </is>
      </c>
      <c r="F11" s="19" t="inlineStr">
        <is>
          <t>บริหารเวลาปิดเคสได้ครบถ้วนภายในกรอบเวลา SLA และปฏิบัติตามระเบียบความปลอดภัยและกฎขององค์กรเคร่งครัด</t>
        </is>
      </c>
      <c r="G11" s="19" t="inlineStr">
        <is>
          <t>รักษาอัตรา 100% SLA ยอดเยี่ยมอย่างต่อเนื่อง ปรับขั้นตอนที่ซ้ำซ้อนให้ทีมส่งงานได้เร็วขึ้นอย่างยั่งยืน</t>
        </is>
      </c>
    </row>
    <row r="12" ht="42" customHeight="1">
      <c r="A12" s="18" t="inlineStr">
        <is>
          <t>INT (Intelligence)
การวิเคราะห์และกลยุทธ์</t>
        </is>
      </c>
      <c r="B12" s="18" t="inlineStr">
        <is>
          <t>INT1</t>
        </is>
      </c>
      <c r="C12" s="19" t="inlineStr">
        <is>
          <t>การวิเคราะห์หาสาเหตุปัญหาที่ถูกต้อง
(Accurate Root Cause Analysis)</t>
        </is>
      </c>
      <c r="D12" s="19" t="inlineStr">
        <is>
          <t>วินิจฉัยปัญหาทางเทคนิคผิดพลาดบ่อย แก้ไขไม่ตรงจุด ส่งผลให้ปัญหายืดเยื้อและพนักงานต้องเข้าซ้ำหลายครั้ง</t>
        </is>
      </c>
      <c r="E12" s="19" t="inlineStr">
        <is>
          <t>หาสาเหตุอาการซ่อมบำรุงทั่วไปได้ดี แต่เมื่อเจออาการแปลกใหม่เชิงระบบขัดข้องยังมองหาต้นตอที่แท้จริงไม่เจอ</t>
        </is>
      </c>
      <c r="F12" s="19" t="inlineStr">
        <is>
          <t>วินิจฉัยหาสาเหตุทางเทคนิคเชิงลึกได้แม่นยำ แยกประเภทปัญหาเพื่อส่งงานต่อให้ช่างเฉพาะทางได้ตรงประเด็น</t>
        </is>
      </c>
      <c r="G12" s="19" t="inlineStr">
        <is>
          <t>แก้ปัญหาทางเทคนิคที่แทบไม่เคยเจอสำเร็จด้วยปัญญาชั้นครู อธิบายให้ช่างและทีมงานเข้าใจเชิงลึกอย่างง่าย</t>
        </is>
      </c>
    </row>
    <row r="13" ht="42" customHeight="1">
      <c r="A13" s="20" t="n"/>
      <c r="B13" s="18" t="inlineStr">
        <is>
          <t>INT2</t>
        </is>
      </c>
      <c r="C13" s="19" t="inlineStr">
        <is>
          <t>ความรู้ความเข้าใจงานระบบในองค์กร
(System &amp; Domain Knowledge)</t>
        </is>
      </c>
      <c r="D13" s="19" t="inlineStr">
        <is>
          <t>ไม่เข้าใจระบบบริการหลังบ้าน ขั้นตอนการส่งเคส หรือเงื่อนไขสัญญารับประกันสินค้าสร้างปัญหาขั้นตอนสับสน</t>
        </is>
      </c>
      <c r="E13" s="19" t="inlineStr">
        <is>
          <t>เข้าใจโครงสร้างองค์กรและการประสานงานพื้นฐาน แต่อาจติดขัดในขั้นตอนที่มีเงื่อนไขพิเศษเฉพาะกรณี</t>
        </is>
      </c>
      <c r="F13" s="19" t="inlineStr">
        <is>
          <t>เข้าใจกฎเกณฑ์ ระบบการทำงาน และเงื่อนไขสัญญาทั้งหมดอย่างถูกต้อง ช่วยประสานงานข้ามฝ่ายได้อย่างคล่องตัว</t>
        </is>
      </c>
      <c r="G13" s="19" t="inlineStr">
        <is>
          <t>เชี่ยวชาญทั้งแนวทางการทำงานภายในและขั้นตอนงานระบบวิศวกรรมต่างๆ แนะนำทีมงานในองค์กรได้ทุกสถานการณ์</t>
        </is>
      </c>
    </row>
    <row r="14" ht="42" customHeight="1">
      <c r="A14" s="20" t="n"/>
      <c r="B14" s="18" t="inlineStr">
        <is>
          <t>INT3</t>
        </is>
      </c>
      <c r="C14" s="19" t="inlineStr">
        <is>
          <t>การวางแผนแก้ปัญหาเชิงป้องกัน
(Preventive Maintenance &amp; Planning)</t>
        </is>
      </c>
      <c r="D14" s="19" t="inlineStr">
        <is>
          <t>ทำงานแบบตามแก้ปัญหาอย่างเดียว (Reactive) ไม่มีแผนรองรับหรือการตรวจเช็คล่วงหน้า ปล่อยให้เกิดเหตุซ้ำ</t>
        </is>
      </c>
      <c r="E14" s="19" t="inlineStr">
        <is>
          <t>ทำตามตารางบำรุงรักษาเชิงป้องกัน (PM) ทั่วไปตามแผนได้ แต่อาจขาดการประเมินวิเคราะห์แนวโน้มชำรุดล่วงหน้า</t>
        </is>
      </c>
      <c r="F14" s="19" t="inlineStr">
        <is>
          <t>กำหนดตารางประเมินสภาพ จัดทำแผน Preventive Maintenance ครบถ้วน ช่วยลดอัตราการแจ้งเคลมซ้ำของหน้างาน</t>
        </is>
      </c>
      <c r="G14" s="19" t="inlineStr">
        <is>
          <t>ออกแบบระบบแผนบำรุงรักษาเชิงป้องกันขั้นสูง นำข้อมูลสถิติเดิมมาประมวลผลเพื่อหยุดปัญหาก่อนจะเกิดได้ดีเลิศ</t>
        </is>
      </c>
    </row>
    <row r="15" ht="42" customHeight="1">
      <c r="A15" s="21" t="n"/>
      <c r="B15" s="18" t="inlineStr">
        <is>
          <t>INT4</t>
        </is>
      </c>
      <c r="C15" s="19" t="inlineStr">
        <is>
          <t>ความคิดสร้างสรรค์ในการแก้ปัญหา
(Creative Problem Solving)</t>
        </is>
      </c>
      <c r="D15" s="19" t="inlineStr">
        <is>
          <t>ยึดติดกับแนวทางเดิมๆ เมื่อหน้างานติดขัดข้อจำกัด มักจะหยุดงานทันทีหรือคืนงานโดยไม่พยายามหาทางเลือกใหม่</t>
        </is>
      </c>
      <c r="E15" s="19" t="inlineStr">
        <is>
          <t>พยายามคิดวิธีอื่นทดแทนได้ แต่ยังขาดความยืดหยุ่นในการเสนอข้อประนีประนอมที่เป็นประโยชน์ต่อบริษัทและลูกค้า</t>
        </is>
      </c>
      <c r="F15" s="19" t="inlineStr">
        <is>
          <t>มีไอเดียพลิกแพลงและนำเสนอทางออกรูปแบบใหม่ (Win-Win) ที่ประหยัดงบแต่ลูกค้าพึงพอใจสูงตามมาตรฐานแบรนด์</t>
        </is>
      </c>
      <c r="G15" s="19" t="inlineStr">
        <is>
          <t>คิดนวัตกรรมการบริการหรือเทคนิคการเจรจาระดับเซียนที่ไม่มีระบุในตำรา สร้างประโยชน์และลดงบประมาณได้มหาศาล</t>
        </is>
      </c>
    </row>
    <row r="16" ht="42" customHeight="1">
      <c r="A16" s="18" t="inlineStr">
        <is>
          <t>CON (Constitution)
ความอดทนและควบคุมจิตใจ</t>
        </is>
      </c>
      <c r="B16" s="18" t="inlineStr">
        <is>
          <t>CON1</t>
        </is>
      </c>
      <c r="C16" s="19" t="inlineStr">
        <is>
          <t>การควบคุมอารมณ์และสติ
(Emotional Control)</t>
        </is>
      </c>
      <c r="D16" s="19" t="inlineStr">
        <is>
          <t>ใช้อารมณ์โต้ตอบ ชักสีหน้าหน้างาน หรือโต้เถียงกับลูกค้า/ช่างอย่างไม่สุภาพเมื่อเจองานติดขัดหรือข้อร้องเรียน</t>
        </is>
      </c>
      <c r="E16" s="19" t="inlineStr">
        <is>
          <t>อดทนในสถานการณ์ส่วนใหญ่ได้ดี แต่หากถูกลูกค้าคาดคั้นหรือพาดพิงรุนแรงอาจควบคุมน้ำเสียงและอารมณ์ได้ยากขึ้น</t>
        </is>
      </c>
      <c r="F16" s="19" t="inlineStr">
        <is>
          <t>ควบคุมสติ อารมณ์ และรักษาท่าทีที่สุภาพ มีความเป็นมืออาชีพตลอดเวลากับลูกค้าที่อารมณ์รุนแรงที่สุด</t>
        </is>
      </c>
      <c r="G16" s="19" t="inlineStr">
        <is>
          <t>เจรจาพลิกอารมณ์ลูกค้าที่เกรี้ยวกราดรุนแรงให้เย็นลงได้อย่างน่าอัศจรรย์ ด้วยทักษะจิตวิทยาขั้นสูงที่ทีมยกย่อง</t>
        </is>
      </c>
    </row>
    <row r="17" ht="42" customHeight="1">
      <c r="A17" s="20" t="n"/>
      <c r="B17" s="18" t="inlineStr">
        <is>
          <t>CON2</t>
        </is>
      </c>
      <c r="C17" s="19" t="inlineStr">
        <is>
          <t>ความสม่ำเสมอในสภาวะกดดัน
(Burnout Resilience)</t>
        </is>
      </c>
      <c r="D17" s="19" t="inlineStr">
        <is>
          <t>สมาธิหลุดง่าย ทำงานรวนเมื่อเจอปริมาณเคสมากๆ หรือทนต่อสภาพแวดล้อมแดด/ฝุ่นหน้างานได้น้อย มาตรฐานตกฮวบ</t>
        </is>
      </c>
      <c r="E17" s="19" t="inlineStr">
        <is>
          <t>ทำงานได้ดีในสภาวะปกติ แต่หากงานรุมเร้าพร้อมกันหลายโครงการหรือติดงานเอกสารรูทีนมากๆ สปีดการทำงานจะเริ่มตก</t>
        </is>
      </c>
      <c r="F17" s="19" t="inlineStr">
        <is>
          <t>รักษาประสิทธิภาพการทำงาน ความประณีต และความคงเส้นคงวาของผลงานได้ดีเยี่ยมไม่ว่าจะอยู่ท่ามกลางปัจจัยกดดันใดๆ</t>
        </is>
      </c>
      <c r="G17" s="19" t="inlineStr">
        <is>
          <t>เป็นเสาหลักที่สร้างกำลังใจและบรรยากาศการทำงานที่ดีท่ามกลางวิกฤตหน้างานที่หนักหน่วง คอยประคองพนักงานในทีม</t>
        </is>
      </c>
    </row>
    <row r="18" ht="42" customHeight="1">
      <c r="A18" s="21" t="n"/>
      <c r="B18" s="18" t="inlineStr">
        <is>
          <t>CON3</t>
        </is>
      </c>
      <c r="C18" s="19" t="inlineStr">
        <is>
          <t>ทักษะการรับฟังและเข้าอกเข้าใจ
(Customer Empathy)</t>
        </is>
      </c>
      <c r="D18" s="19" t="inlineStr">
        <is>
          <t>เพิกเฉยต่อความกังวลหรือความเดือดร้อน of ลูกค้า ไม่รับฟังอย่างตั้งใจ มุ่งเน้นแต่เพียงข้อโต้แย้งในนามบริษัท</t>
        </is>
      </c>
      <c r="E18" s="19" t="inlineStr">
        <is>
          <t>รับฟังลูกค้าอย่างสุภาพตามหน้าที่ แต่พฤติกรรมการบริการหรือการสื่อสารยังดูแข็งกร้าวหรือเป็นทางการเกินไป</t>
        </is>
      </c>
      <c r="F18" s="19" t="inlineStr">
        <is>
          <t>แสดงความเห็นอกเห็นใจ ใส่ใจ รับฟังความทุกข์ร้อนเพื่อคลายความกังวลของลูกค้า และติดตามสิทธิ์ให้ลูกค้าอย่างจริงใจ</t>
        </is>
      </c>
      <c r="G18" s="19" t="inlineStr">
        <is>
          <t>สร้างความประทับใจระดับตำนาน (Customer Delight) ลูกค้าส่งจดหมายชื่นชมหรือเจาะจงชมเชยเป็นรายบุคคล</t>
        </is>
      </c>
    </row>
    <row r="19" ht="42" customHeight="1">
      <c r="A19" s="18" t="inlineStr">
        <is>
          <t>SEN (Sensibility)
การบริหารจัดการและเทคโนโลยี</t>
        </is>
      </c>
      <c r="B19" s="18" t="inlineStr">
        <is>
          <t>SEN1</t>
        </is>
      </c>
      <c r="C19" s="19" t="inlineStr">
        <is>
          <t>การบริหารจัดการคิวงานและทรัพยากร
(Task &amp; Resource Management)</t>
        </is>
      </c>
      <c r="D19" s="19" t="inlineStr">
        <is>
          <t>จัดลำดับความสำคัญคิวงานไม่เป็น ปล่อยงานเร่งด่วนค้าง ส่งงานง่ายล่าช้า กระจายงานไม่เป็นธรรมทำให้ทีมขัดแย้ง</t>
        </is>
      </c>
      <c r="E19" s="19" t="inlineStr">
        <is>
          <t>กระจายงานและจัดคิวพนักงานในทีมได้ดีตามปกติ แต่อาจไม่เข้าใจจุดแข็ง-จุดอ่อนรายบุคคลทำให้งานบางส่วนล่าช้า</t>
        </is>
      </c>
      <c r="F19" s="19" t="inlineStr">
        <is>
          <t>วิเคราะห์ทักษะทีมงาน จัดสรรปริมาณงานและกระจายคิวให้สมดุล (Right Man on the Right Job) งานรันคล่องตัว</t>
        </is>
      </c>
      <c r="G19" s="19" t="inlineStr">
        <is>
          <t>สร้างทีมงานที่มีความยืดหยุ่นสูง (Cross-functional Team) ปฏิบัติงานร่วมกันและจัดคิวงานทดแทนกันไร้รอยต่อ</t>
        </is>
      </c>
    </row>
    <row r="20" ht="42" customHeight="1">
      <c r="A20" s="20" t="n"/>
      <c r="B20" s="18" t="inlineStr">
        <is>
          <t>SEN2</t>
        </is>
      </c>
      <c r="C20" s="19" t="inlineStr">
        <is>
          <t>การใช้เทคโนโลยีติดตามสถานะงาน
(Systematic Tracking &amp; Monitoring)</t>
        </is>
      </c>
      <c r="D20" s="19" t="inlineStr">
        <is>
          <t>ไม่ใช้เทคโนโลยีหรือระบบติดตามสถานะงานเลย ใช้แต่ความจำส่วนตัวทำให้ลืมเคสบ่อยครั้ง เกิดผลกระทบต่องานทีม</t>
        </is>
      </c>
      <c r="E20" s="19" t="inlineStr">
        <is>
          <t>อัปเดตข้อมูลความคืบหน้าของเคสในระบบช้า ไม่ Real-time ต้องให้หัวหน้าคอยสอบถามสถานะความคืบหน้าอยู่ตลอด</t>
        </is>
      </c>
      <c r="F20" s="19" t="inlineStr">
        <is>
          <t>ใช้โปรแกรม/แดชบอร์ดติดตามความคืบหน้าของงานทีมแบบ Real-time ข้อมูลอัปเดตเป๊ะ ควบคุมงานไม่เคยหลุดกรอบ</t>
        </is>
      </c>
      <c r="G20" s="19" t="inlineStr">
        <is>
          <t>นำข้อมูลจากระบบรายงานผลมาวิเคราะห์และวางมาตรการล่วงหน้าเพื่อลดคอขวดในจุดรับงานซ่อมได้อย่างมีประสิทธิภาพ</t>
        </is>
      </c>
    </row>
    <row r="21" ht="42" customHeight="1">
      <c r="A21" s="21" t="n"/>
      <c r="B21" s="18" t="inlineStr">
        <is>
          <t>SEN3</t>
        </is>
      </c>
      <c r="C21" s="19" t="inlineStr">
        <is>
          <t>การประยุกต์ใช้เทคโนโลยีเพื่อลดขั้นตอน
(Process Automation)</t>
        </is>
      </c>
      <c r="D21" s="19" t="inlineStr">
        <is>
          <t>ต่อต้านการเรียนรู้ซอฟต์แวร์หรือเครื่องมือดิจิทัลใหม่ๆ ที่องค์กรนำมาใช้ ยังคงทำงานแบบเดิมๆ ที่ใช้เวลานานและตกหล่น</t>
        </is>
      </c>
      <c r="E21" s="19" t="inlineStr">
        <is>
          <t>ใช้เครื่องมือและซอฟต์แวร์ดิจิทัลตามคำสั่งได้ดี แต่อาจไม่มีแนวคิดประยุกต์ใช้เพิ่มประสิทธิภาพเพื่อความสะดวกของทีม</t>
        </is>
      </c>
      <c r="F21" s="19" t="inlineStr">
        <is>
          <t>ประยุกต์ใช้ฟังก์ชันต่างๆ ในระบบ เช่น จัดเก็บบันทึกข้อมูลผ่าน Google Sheets/Form เพื่อแบ่งเบาขั้นตอนซ้ำซ้อนสำเร็จ</t>
        </is>
      </c>
      <c r="G21" s="19" t="inlineStr">
        <is>
          <t>ออกแบบระบบจัดเก็บและวิเคราะห์อัตโนมัติ (Dashboard/Auto-alerts) เพื่อเตือนภัยและลดเวลารันงานของทีมได้สมบูรณ์แบบ</t>
        </is>
      </c>
    </row>
  </sheetData>
  <mergeCells count="7">
    <mergeCell ref="A1:G1"/>
    <mergeCell ref="A16:A18"/>
    <mergeCell ref="A12:A15"/>
    <mergeCell ref="A3:A5"/>
    <mergeCell ref="A19:A21"/>
    <mergeCell ref="A6:A8"/>
    <mergeCell ref="A9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2026-08-10T17:27:22Z</dcterms:created>
  <dcterms:modified xmlns:dcterms="http://purl.org/dc/terms/" xmlns:xsi="http://www.w3.org/2001/XMLSchema-instance" xsi:type="dcterms:W3CDTF">2026-08-10T17:27:22Z</dcterms:modified>
</cp:coreProperties>
</file>