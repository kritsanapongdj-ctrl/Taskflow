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19396" windowHeight="11475" firstSheet="4" activeTab="5"/>
  </bookViews>
  <sheets>
    <sheet sheetId="1" name="คำแนะนำการใช้งาน" state="visible" r:id="rId4"/>
    <sheet sheetId="2" name="ประเมินผลทีม" state="visible" r:id="rId5"/>
    <sheet sheetId="3" name="เกณฑ์ประเมินแบบละเอียด" state="visible" r:id="rId6"/>
    <sheet sheetId="4" name="Archetypes Guide V2" state="visible" r:id="rId7"/>
    <sheet sheetId="5" name="Stats Definition V2" state="visible" r:id="rId8"/>
    <sheet sheetId="6" name="สรุปผลการประเมิน" state="visible" r:id="rId9"/>
  </sheets>
  <calcPr calcId="171027"/>
</workbook>
</file>

<file path=xl/sharedStrings.xml><?xml version="1.0" encoding="utf-8"?>
<sst xmlns="http://schemas.openxmlformats.org/spreadsheetml/2006/main" count="362" uniqueCount="348">
  <si>
    <t>คู่มือและระบบบันทึกคะแนน RPG Status Framework (ฉบับอัปเดตเกณฑ์ใหม่)</t>
  </si>
  <si>
    <t>วัตถุประสงค์</t>
  </si>
  <si>
    <t>ใช้ประเมินสไตล์การทำงาน พฤติกรรม และศักยภาพของบุคลากรเพื่อวางแผนการพัฒนา (Development Plan) ไม่ใช่การจับผิดหรือตรวจผลงานจริง</t>
  </si>
  <si>
    <t>โครงสร้างระดับคะแนนใหม่ (5 ระดับ)</t>
  </si>
  <si>
    <t>การประเมินใช้คะแนนดิบ 1-10 ในแต่ละหัวข้อย่อย โดยอ้างอิงระดับพฤติกรรมจริงดังนี้:</t>
  </si>
  <si>
    <t xml:space="preserve">  1. ระดับพื้นฐาน (Basic)</t>
  </si>
  <si>
    <t>คะแนน 1-3 | ยังต้องการการดูแลอย่างใกล้ชิด หรือต้องมีคนคอยช่วยเหลือเมื่อพบปัญหาที่ไม่คุ้นเคย</t>
  </si>
  <si>
    <t xml:space="preserve">  2. ระดับปานกลาง (Intermediate)</t>
  </si>
  <si>
    <t>คะแนน 4-5 | สามารถทำงานประจำวันพื้นฐานได้ดีด้วยตนเอง แต่ถ้าพบงานยากหรือกดดันสูงอาจยังสับสน</t>
  </si>
  <si>
    <t xml:space="preserve">  3. ระดับมาตรฐาน (Standard)</t>
  </si>
  <si>
    <t>คะแนน 6 | เกณฑ์มาตรฐานหลักที่ทุกคนพึงมี ทำงานถูกต้อง พึ่งพาตนเองได้ในขอบเขตงานปกติอย่างเสถียร</t>
  </si>
  <si>
    <t xml:space="preserve">  4. ระดับสูง (Advanced)</t>
  </si>
  <si>
    <t>คะแนน 7-8 | ทำงานซับซ้อน ปิดเคสยาก หรือแก้ปัญหาหน้างานได้เฉียบขาดด้วยตนเอง เป็นที่พึ่งพาให้เพื่อนร่วมทีม</t>
  </si>
  <si>
    <t xml:space="preserve">  5. ระดับเชี่ยวชาญ/วิกฤต (Mastery)</t>
  </si>
  <si>
    <t>คะแนน 9-10 | ระดับปรมาจารย์ สามารถจัดการเคสวิกฤต เป็นต้นแบบ (Role Model) หรือ Mentor สอนผู้อื่นในทีมได้</t>
  </si>
  <si>
    <t>ขั้นตอนการใช้งานเทมเพลต</t>
  </si>
  <si>
    <t xml:space="preserve">  ขั้นตอนที่ 1</t>
  </si>
  <si>
    <t>เข้าไปที่แผ่นงาน 'ประเมินผลทีม'</t>
  </si>
  <si>
    <t xml:space="preserve">  ขั้นตอนที่ 2</t>
  </si>
  <si>
    <t>กรอกชื่อพนักงาน และตำแหน่งในคอลัมน์ A และ B</t>
  </si>
  <si>
    <t xml:space="preserve">  ขั้นตอนที่ 3</t>
  </si>
  <si>
    <t>ประเมินคะแนนพฤติกรรมจริงรายหัวข้อย่อยในคอลัมน์ K ถึง AC (คะแนน 1-10) ตามแนวทางในแผ่นงาน 'เกณฑ์ประเมินแบบละเอียด'</t>
  </si>
  <si>
    <t xml:space="preserve">  ขั้นตอนที่ 4</t>
  </si>
  <si>
    <t>ระบบจะคำนวณค่าเฉลี่ยสเตตัสหลัก (คอลัมน์ C ถึง H) รวมถึงวิเคราะห์ 'จุดแข็งหลัก' และ 'จุดที่ควรพัฒนา' ให้อัตโนมัติ</t>
  </si>
  <si>
    <t xml:space="preserve">  ขั้นตอนที่ 5</t>
  </si>
  <si>
    <t>เลือกข้อมูลชื่อและสเตตัสเฉลี่ย เพื่อนำไปสร้างแผนภูมิเรดาร์ 6 เหลี่ยม (Radar Chart) เพื่อใช้ในการโค้ชชิ่งและพัฒนาบุคลากรรายบุคคล</t>
  </si>
  <si>
    <t>สัญลักษณ์สีในเทมเพลต</t>
  </si>
  <si>
    <t xml:space="preserve">  [ สีฟ้าอ่อน ]</t>
  </si>
  <si>
    <t>ช่องสำหรับกรอกข้อมูลดิบ/คะแนนดิบรายหัวข้อย่อย (User Inputs)</t>
  </si>
  <si>
    <t xml:space="preserve">  [ สีเขียวอ่อน ]</t>
  </si>
  <si>
    <t>ช่องแสดงค่าเฉลี่ยสเตตัสหลักและจุดแข็งหลักที่คำนวณจากสูตรอัตโนมัติ (Calculated Outputs)</t>
  </si>
  <si>
    <t xml:space="preserve">  [ สีส้มพาสเทล ]</t>
  </si>
  <si>
    <t>ช่องแสดงจุดที่ควรได้รับการพัฒนา (Development Areas) ที่คำนวณจากสูตรอัตโนมัติ</t>
  </si>
  <si>
    <t>ระบบบันทึกคะแนนและประเมินสเตตัสทีมงาน (RPG Status Framework)</t>
  </si>
  <si>
    <t>ชื่อพนักงาน</t>
  </si>
  <si>
    <t>ตำแหน่ง</t>
  </si>
  <si>
    <t>STR เฉลี่ย</t>
  </si>
  <si>
    <t>AGI เฉลี่ย</t>
  </si>
  <si>
    <t>DEX เฉลี่ย</t>
  </si>
  <si>
    <t>INT เฉลี่ย</t>
  </si>
  <si>
    <t>CON เฉลี่ย</t>
  </si>
  <si>
    <t>SEN เฉลี่ย</t>
  </si>
  <si>
    <t>จุดแข็งหลัก</t>
  </si>
  <si>
    <t>จุดที่ควรพัฒนา</t>
  </si>
  <si>
    <t xml:space="preserve">STR1
เด็ดขาด</t>
  </si>
  <si>
    <t xml:space="preserve">STR2
ปิดเคสยาก</t>
  </si>
  <si>
    <t xml:space="preserve">STR3
คุมผู้รับเหมา</t>
  </si>
  <si>
    <t xml:space="preserve">AGI1
ตอบสนองไว</t>
  </si>
  <si>
    <t xml:space="preserve">AGI2
เหตุฉุกเฉิน</t>
  </si>
  <si>
    <t xml:space="preserve">AGI3
ปรับยืดหยุ่น</t>
  </si>
  <si>
    <t xml:space="preserve">DEX1
ข้อมูลแม่น</t>
  </si>
  <si>
    <t xml:space="preserve">DEX2
ตรวจละเอียด</t>
  </si>
  <si>
    <t xml:space="preserve">DEX3
มาตรฐานSLA</t>
  </si>
  <si>
    <t xml:space="preserve">INT1
วิเคราะห์ราก</t>
  </si>
  <si>
    <t xml:space="preserve">INT2
ความรู้ระบบ</t>
  </si>
  <si>
    <t xml:space="preserve">INT3
แผนเชิงป้องกัน</t>
  </si>
  <si>
    <t xml:space="preserve">INT4
คิดสร้างสรรค์</t>
  </si>
  <si>
    <t xml:space="preserve">CON1
คุมอารมณ์</t>
  </si>
  <si>
    <t xml:space="preserve">CON2
ทนแรงกดดัน</t>
  </si>
  <si>
    <t xml:space="preserve">CON3
เข้าใจลูกค้า</t>
  </si>
  <si>
    <t xml:space="preserve">SEN1
บริหารคิว</t>
  </si>
  <si>
    <t xml:space="preserve">SEN2
เทคโนโลยีตามงาน</t>
  </si>
  <si>
    <t xml:space="preserve">SEN3
เทคโนโลยีลดขั้นตอน</t>
  </si>
  <si>
    <t>กฤษณพงศ์ ดลจิตต์</t>
  </si>
  <si>
    <t>เจ้าหน้าที่บริการฯ</t>
  </si>
  <si>
    <t>คู่มือเกณฑ์ประเมินผลพฤติกรรม (Behavioral Rubric) ตามระดับคะแนนใหม่</t>
  </si>
  <si>
    <t>ค่าสเตตัส</t>
  </si>
  <si>
    <t>รหัส</t>
  </si>
  <si>
    <t>หัวข้อย่อยในการประเมิน</t>
  </si>
  <si>
    <t>ระดับพื้นฐาน (1-3)</t>
  </si>
  <si>
    <t>ระดับปานกลาง (4-5)</t>
  </si>
  <si>
    <t>ระดับมาตรฐาน (6)</t>
  </si>
  <si>
    <t>ระดับสูง (7-8) / ระดับเชี่ยวชาญ (9-10)</t>
  </si>
  <si>
    <t xml:space="preserve">STR (Strength)
พลังผลักดันหน้างาน</t>
  </si>
  <si>
    <t>STR1</t>
  </si>
  <si>
    <t xml:space="preserve">ความเด็ดขาดในการแก้ปัญหา
(Decision Making)</t>
  </si>
  <si>
    <t>ลังเล ไม่กล้าตัดสินใจแก้ปัญหาด้วยตัวเอง แม้เป็นเรื่องง่าย ต้องรอถามหัวหน้างานตลอด</t>
  </si>
  <si>
    <t>ตัดสินใจเรื่องทั่วไปได้เองตามกฎระเบียบ แต่ถ้ามีข้อขัดแย้งหน้างานยังรวน ต้องให้ช่วยสั่งการ</t>
  </si>
  <si>
    <t>ตัดสินใจแก้ปัญหาระดับปกติหน้างานได้เฉียบขาด ถูกต้องตามขอบเขตงานและรักษามาตรฐานแบรนด์</t>
  </si>
  <si>
    <t>แก้เคสซับซ้อน/ขัดแย้งกับผู้รับเหมาและดีลเลอร์จบได้ทันทีด้วยตัวเอง และสอนให้ทีมแก้ตามได้</t>
  </si>
  <si>
    <t>STR2</t>
  </si>
  <si>
    <t xml:space="preserve">อัตราการปิดเคสยาก
(Case Closure)</t>
  </si>
  <si>
    <t>มักปล่อยผ่านเคสยาก หลีกเลี่ยงปัญหาซับซ้อน ส่งผลให้เคสสะสมค้างคาจนลูกค้าร้องเรียน</t>
  </si>
  <si>
    <t>ปิดเคสซับซ้อนทั่วไปได้ดีตามระเบียบ แต่เมื่อเจอเคสอารมณ์รุนแรงหรือขั้นตอนซ้อนมักต้องการการดูแล</t>
  </si>
  <si>
    <t>ติดตามเคสซับซ้อนสูงจนปิดเคสได้ราบรื่นตามมาตรฐานเวลา และลูกค้าไม่มีข้อโต้แย้งภายหลัง</t>
  </si>
  <si>
    <t>แก้ไขและปิดเคสวิกฤต (VIP/ร้องเรียนขั้นสุด) ด้วยกลยุทธ์ที่ล้ำลึก ช่วยพลิกวิกฤตให้เป็นความเชื่อมั่น</t>
  </si>
  <si>
    <t>STR3</t>
  </si>
  <si>
    <t xml:space="preserve">การควบคุมผลงานช่าง/ผู้รับเหมา
(Site &amp; Subcontractor Control)</t>
  </si>
  <si>
    <t>ปล่อยปละละเลยหน้างาน ไม่ตรวจความประพฤติช่าง ปล่อยให้สร้างความเดือดร้อนในพื้นที่ลูกค้า</t>
  </si>
  <si>
    <t>คุมช่างให้ทำตามแบบได้ตามมาตรฐานทั่วไป แต่หากมีงานเพิ่ม/ลด หน้างานหรือช่างดื้อรั้นยังตามไม่ทัน</t>
  </si>
  <si>
    <t>ควบคุมช่างทำงานเสร็จเป๊ะตามงวดงาน มารยาทและกฎความปลอดภัยไม่มีหลุดหน้างาน</t>
  </si>
  <si>
    <t>ควบคุมคุณภาพงานซ่อมของผู้รับเหมาได้เนี๊ยบระดับแชมป์ ปรับเปลี่ยนแผนคุมงานเมื่อเกิดเหตุไม่คาดคิดได้ฉลุย</t>
  </si>
  <si>
    <t xml:space="preserve">AGI (Agility)
ความรวดเร็วและปรับตัว</t>
  </si>
  <si>
    <t>AGI1</t>
  </si>
  <si>
    <t xml:space="preserve">ความรวดเร็วในการตอบสนอง
(First Response)</t>
  </si>
  <si>
    <t>ตอบรับงานล่าช้า ปล่อยให้ลูกค้าหรือทีมรอสาย/รอการประสานงานเกินกว่าเวลาที่สมควรมาก</t>
  </si>
  <si>
    <t>ประสานงานส่งต่อเรื่องได้รวดเร็วในระดับปกติ แต่ช่วงงานล้นมือยังคีย์ข้อมูลหรือจ่ายงานล่าช้า</t>
  </si>
  <si>
    <t>รับเรื่อง ประสานงานส่งต่อ หรือวิเคราะห์เบื้องต้นเพื่อกระจายงานต่อทันทีตามกรอบเวลามาตรฐาน</t>
  </si>
  <si>
    <t>ตอบสนองและรันกระบวนการส่งต่อเคสได้ไวเยี่ยม ตรวจสอบความถูกต้องล่วงหน้าเพื่อลดปัญหาตีกลับ</t>
  </si>
  <si>
    <t>AGI2</t>
  </si>
  <si>
    <t>ความไวในการจัดการเหตุฉุกเฉิน</t>
  </si>
  <si>
    <t>ละเลยเคสฉุกเฉินระดับสูงหน้างาน (เช่น น้ำรั่ว ไฟดับ) ไม่ให้ความสำคัญตามระดับความเร่งด่วน</t>
  </si>
  <si>
    <t>เข้าถึงจุดเกิดเหตุหรือประสานช่างเข้าช่วยเคสฉุกเฉินได้ แต่อาจขาดมาตรการลดความสูญเสียชั่วคราว</t>
  </si>
  <si>
    <t>เข้าจัดระเบียบหน้างานและควบคุมสถานการณ์เคสฉุกเฉินได้ทันเวลา ป้องกันความเสียหายลุกลามสำเร็จ</t>
  </si>
  <si>
    <t>บริหารหน้างานในวิกฤตฉุกเฉินสูงสุดได้อย่างมีสติ รวดเร็ว จัดระบบช่วยเหลือเป็นขั้นตอนอย่างเป็นมืออาชีพ</t>
  </si>
  <si>
    <t>AGI3</t>
  </si>
  <si>
    <t xml:space="preserve">ความยืดหยุ่นในการปรับแผน
(Adaptability)</t>
  </si>
  <si>
    <t>ยึดติดกับคิวงานเดิม ไม่ยอมปรับเปลี่ยนแผนงานแม้พนักงานคนอื่นขาดงานหรือมีเหตุขัดข้องกะทันหัน</t>
  </si>
  <si>
    <t>ยอมปรับแผนตามหัวหน้าสั่งการได้ แต่ใช้เวลาเตรียมตัวและจัดเส้นทางงานใหม่ค่อนข้างช้า</t>
  </si>
  <si>
    <t>จัดลำดับความสำคัญของคิวงานและทรัพยากรใหม่ทันทีเมื่อเกิดเหตุขัดแย้ง ยืดหยุ่นแต่ไม่หลุดงานหลัก</t>
  </si>
  <si>
    <t>มองหาแผนสำรอง (Plan B) คู่อยู่เสมอ ปรับทีมตอบสนองได้แบบ Real-time โดยประสิทธิภาพโดยรวมไม่ลด</t>
  </si>
  <si>
    <t xml:space="preserve">DEX (Dexterity)
ความแม่นยำและเป๊ะ</t>
  </si>
  <si>
    <t>DEX1</t>
  </si>
  <si>
    <t xml:space="preserve">ความถูกต้องของข้อมูลและงานเอกสาร
(Data &amp; Document Accuracy)</t>
  </si>
  <si>
    <t>คีย์ข้อมูลและทำเอกสารผิดพลาดบ่อยครั้ง ข้อมูลนัดหมายคลาดเคลื่อน สร้างภาระให้ส่วนงานอื่นต้องตามแก้</t>
  </si>
  <si>
    <t>จัดทำเอกสารและตรวจสอบข้อมูลทั่วไปได้ถูกต้องเป็นส่วนใหญ่ แต่อาจมีตกหล่นเล็กน้อยในช่วงที่งานเร่งด่วน</t>
  </si>
  <si>
    <t>จัดทำเอกสารสำคัญ ส่งรายงาน และบันทึกข้อมูลในระบบได้ถูกต้องครบถ้วน 100% ปราศจากความผิดพลาด</t>
  </si>
  <si>
    <t>ความแม่นยำระดับ Auditor ตรวจพบข้อผิดพลาดในเอกสารของแผนกอื่น และแก้ไขก่อนเกิดความเสียหายทางกฎหมายได้</t>
  </si>
  <si>
    <t>DEX2</t>
  </si>
  <si>
    <t xml:space="preserve">ความละเอียดในการตรวจงาน
(QC Precision)</t>
  </si>
  <si>
    <t>ตรวจรับงานซ่อมแบบลวกๆ ปล่อยผ่านจุดบกพร่อง (Defect) หลายจุด ลูกค้าต้องแจ้งเคลมซ้ำในเรื่องเดิม</t>
  </si>
  <si>
    <t>ตรวจดีเฟกต์หลักๆ ได้ดีตามเช็คลิสต์ แต่จุดที่ซ่อนอยู่อย่างงานระบบท่อ ไฟฟ้า ใต้ดิน ยังสังเกตข้ามไป</t>
  </si>
  <si>
    <t>ประเมินและตรวจรับงานดีเฟกต์ได้ครบถ้วน ละเอียดละออ ปราศจากงานชุ่ยผ่านสายตาตามคู่มือเทคนิค</t>
  </si>
  <si>
    <t>มองขาดทุกดีเฟกต์ ออกแบบเช็คลิสต์การตรวจงานแบบใหม่ที่ช่วยยกระดับฝีมือช่างทั้งโครงการให้สูงขึ้น</t>
  </si>
  <si>
    <t>DEX3</t>
  </si>
  <si>
    <t xml:space="preserve">การรักษามาตรฐานเวลา
(SLA &amp; Compliance)</t>
  </si>
  <si>
    <t>ทำงานตกเกณฑ์ SLA บ่อยครั้งโดยไม่มีเหตุผลอันควร ละเลยกฎระเบียบและข้อบังคับของบริษัทในการส่งมอบงาน</t>
  </si>
  <si>
    <t>รักษาเวลาและปฏิบัติตามระเบียบได้ส่วนใหญ่ แต่ช่วงโปรเจกต์กระชั้นชิดมักจะรักษาคุณภาพควบคู่เวลาไม่ได้</t>
  </si>
  <si>
    <t>บริหารเวลาปิดเคสได้ครบถ้วนภายในกรอบเวลา SLA และปฏิบัติตามระเบียบความปลอดภัยและกฎขององค์กรเคร่งครัด</t>
  </si>
  <si>
    <t>รักษาอัตรา 100% SLA ยอดเยี่ยมอย่างต่อเนื่อง ปรับขั้นตอนที่ซ้ำซ้อนให้ทีมส่งงานได้เร็วขึ้นอย่างยั่งยืน</t>
  </si>
  <si>
    <t xml:space="preserve">INT (Intelligence)
การวิเคราะห์และกลยุทธ์</t>
  </si>
  <si>
    <t>INT1</t>
  </si>
  <si>
    <t xml:space="preserve">การวิเคราะห์หาสาเหตุปัญหาที่ถูกต้อง
(Accurate Root Cause Analysis)</t>
  </si>
  <si>
    <t>วินิจฉัยปัญหาทางเทคนิคผิดพลาดบ่อย แก้ไขไม่ตรงจุด ส่งผลให้ปัญหายืดเยื้อและพนักงานต้องเข้าซ้ำหลายครั้ง</t>
  </si>
  <si>
    <t>หาสาเหตุอาการซ่อมบำรุงทั่วไปได้ดี แต่เมื่อเจออาการแปลกใหม่เชิงระบบขัดข้องยังมองหาต้นตอที่แท้จริงไม่เจอ</t>
  </si>
  <si>
    <t>วินิจฉัยหาสาเหตุทางเทคนิคเชิงลึกได้แม่นยำ แยกประเภทปัญหาเพื่อส่งงานต่อให้ช่างเฉพาะทางได้ตรงประเด็น</t>
  </si>
  <si>
    <t>แก้ปัญหาทางเทคนิคที่แทบไม่เคยเจอสำเร็จด้วยปัญญาชั้นครู อธิบายให้ช่างและทีมงานเข้าใจเชิงลึกอย่างง่าย</t>
  </si>
  <si>
    <t>INT2</t>
  </si>
  <si>
    <t xml:space="preserve">ความรู้ความเข้าใจงานระบบในองค์กร
(System &amp; Domain Knowledge)</t>
  </si>
  <si>
    <t>ไม่เข้าใจระบบบริการหลังบ้าน ขั้นตอนการส่งเคส หรือเงื่อนไขสัญญารับประกันสินค้าสร้างปัญหาขั้นตอนสับสน</t>
  </si>
  <si>
    <t>เข้าใจโครงสร้างองค์กรและการประสานงานพื้นฐาน แต่อาจติดขัดในขั้นตอนที่มีเงื่อนไขพิเศษเฉพาะกรณี</t>
  </si>
  <si>
    <t>เข้าใจกฎเกณฑ์ ระบบการทำงาน และเงื่อนไขสัญญาทั้งหมดอย่างถูกต้อง ช่วยประสานงานข้ามฝ่ายได้อย่างคล่องตัว</t>
  </si>
  <si>
    <t>เชี่ยวชาญทั้งแนวทางการทำงานภายในและขั้นตอนงานระบบวิศวกรรมต่างๆ แนะนำทีมงานในองค์กรได้ทุกสถานการณ์</t>
  </si>
  <si>
    <t>INT3</t>
  </si>
  <si>
    <t xml:space="preserve">การวางแผนและการแก้ปัญหาเชิงประยุกต์
(Preventive &amp; Creative Solving)</t>
  </si>
  <si>
    <t>ไม่มีแผนรองรับการชำรุดล่วงหน้า ยึดติดกับวิธีเดิมๆ ไม่ปรับตัวเมื่อเจอข้อจำกัด</t>
  </si>
  <si>
    <t>ทำตามแผนบำรุงรักษา (PM) ได้ตามตาราง พยายามคิดวิธีใหม่ได้บ้างแต่ยังขาดความยืดหยุ่น</t>
  </si>
  <si>
    <t>จัดทำแผน PM ครบถ้วน พร้อมเสนอไอเดียพลิกแพลงทางออกรูปแบบใหม่ (Win-Win) ที่ประหยัดงบ</t>
  </si>
  <si>
    <t>ออกแบบระบบป้องกันวิกฤตขั้นสูง และคิดค้นนวัตกรรมการบริการหรือเทคนิคเจรจาใหม่ๆ ที่ไม่มีในตำรา</t>
  </si>
  <si>
    <t xml:space="preserve">CON (Constitution)
ความอดทนและควบคุมจิตใจ</t>
  </si>
  <si>
    <t>CON1</t>
  </si>
  <si>
    <t xml:space="preserve">การควบคุมอารมณ์และสติ
(Emotional Control)</t>
  </si>
  <si>
    <t>ใช้อารมณ์โต้ตอบ ชักสีหน้าหน้างาน หรือโต้เถียงกับลูกค้า/ช่างอย่างไม่สุภาพเมื่อเจองานติดขัดหรือข้อร้องเรียน</t>
  </si>
  <si>
    <t>อดทนในสถานการณ์ส่วนใหญ่ได้ดี แต่หากถูกลูกค้าคาดคั้นหรือพาดพิงรุนแรงอาจควบคุมน้ำเสียงและอารมณ์ได้ยากขึ้น</t>
  </si>
  <si>
    <t>ควบคุมสติ อารมณ์ และรักษาท่าทีที่สุภาพ มีความเป็นมืออาชีพตลอดเวลากับลูกค้าที่อารมณ์รุนแรงที่สุด</t>
  </si>
  <si>
    <t>เจรจาพลิกอารมณ์ลูกค้าที่เกรี้ยวกราดรุนแรงให้เย็นลงได้อย่างน่าอัศจรรย์ ด้วยทักษะจิตวิทยาขั้นสูงที่ทีมยกย่อง</t>
  </si>
  <si>
    <t>CON2</t>
  </si>
  <si>
    <t xml:space="preserve">ความสม่ำเสมอในสภาวะกดดัน
(Burnout Resilience)</t>
  </si>
  <si>
    <t>สมาธิหลุดง่าย ทำงานรวนเมื่อเจอปริมาณเคสมากๆ หรือทนต่อสภาพแวดล้อมแดด/ฝุ่นหน้างานได้น้อย มาตรฐานตกฮวบ</t>
  </si>
  <si>
    <t>ทำงานได้ดีในสภาวะปกติ แต่หากงานรุมเร้าพร้อมกันหลายโครงการหรือติดงานเอกสารรูทีนมากๆ สปีดการทำงานจะเริ่มตก</t>
  </si>
  <si>
    <t>รักษาประสิทธิภาพการทำงาน ความประณีต และความคงเส้นคงวาของผลงานได้ดีเยี่ยมไม่ว่าจะอยู่ท่ามกลางปัจจัยกดดันใดๆ</t>
  </si>
  <si>
    <t>เป็นเสาหลักที่สร้างกำลังใจและบรรยากาศการทำงานที่ดีท่ามกลางวิกฤตหน้างานที่หนักหน่วง คอยประคองพนักงานในทีม</t>
  </si>
  <si>
    <t>CON3</t>
  </si>
  <si>
    <t xml:space="preserve">ทักษะการรับฟังและเข้าอกเข้าใจ
(Customer Empathy)</t>
  </si>
  <si>
    <t>เพิกเฉยต่อความกังวลหรือความเดือดร้อน of ลูกค้า ไม่รับฟังอย่างตั้งใจ มุ่งเน้นแต่เพียงข้อโต้แย้งในนามบริษัท</t>
  </si>
  <si>
    <t>รับฟังลูกค้าอย่างสุภาพตามหน้าที่ แต่พฤติกรรมการบริการหรือการสื่อสารยังดูแข็งกร้าวหรือเป็นทางการเกินไป</t>
  </si>
  <si>
    <t>แสดงความเห็นอกเห็นใจ ใส่ใจ รับฟังความทุกข์ร้อนเพื่อคลายความกังวลของลูกค้า และติดตามสิทธิ์ให้ลูกค้าอย่างจริงใจ</t>
  </si>
  <si>
    <t>สร้างความประทับใจระดับตำนาน (Customer Delight) ลูกค้าส่งจดหมายชื่นชมหรือเจาะจงชมเชยเป็นรายบุคคล</t>
  </si>
  <si>
    <t xml:space="preserve">SEN (Sensibility)
การบริหารจัดการและเทคโนโลยี</t>
  </si>
  <si>
    <t>SEN1</t>
  </si>
  <si>
    <t xml:space="preserve">การบริหารจัดการคิวงานและทรัพยากร
(Task &amp; Resource Management)</t>
  </si>
  <si>
    <t>จัดลำดับความสำคัญคิวงานไม่เป็น ปล่อยงานเร่งด่วนค้าง ส่งงานง่ายล่าช้า กระจายงานไม่เป็นธรรมทำให้ทีมขัดแย้ง</t>
  </si>
  <si>
    <t>กระจายงานและจัดคิวพนักงานในทีมได้ดีตามปกติ แต่อาจไม่เข้าใจจุดแข็ง-จุดอ่อนรายบุคคลทำให้งานบางส่วนล่าช้า</t>
  </si>
  <si>
    <t>วิเคราะห์ทักษะทีมงาน จัดสรรปริมาณงานและกระจายคิวให้สมดุล (Right Man on the Right Job) งานรันคล่องตัว</t>
  </si>
  <si>
    <t>สร้างทีมงานที่มีความยืดหยุ่นสูง (Cross-functional Team) ปฏิบัติงานร่วมกันและจัดคิวงานทดแทนกันไร้รอยต่อ</t>
  </si>
  <si>
    <t>SEN2</t>
  </si>
  <si>
    <t xml:space="preserve">การใช้เทคโนโลยีติดตามสถานะงาน
(Systematic Tracking &amp; Monitoring)</t>
  </si>
  <si>
    <t>ไม่ใช้เทคโนโลยีหรือระบบติดตามสถานะงานเลย ใช้แต่ความจำส่วนตัวทำให้ลืมเคสบ่อยครั้ง เกิดผลกระทบต่องานทีม</t>
  </si>
  <si>
    <t>อัปเดตข้อมูลความคืบหน้าของเคสในระบบช้า ไม่ Real-time ต้องให้หัวหน้าคอยสอบถามสถานะความคืบหน้าอยู่ตลอด</t>
  </si>
  <si>
    <t>ใช้โปรแกรม/แดชบอร์ดติดตามความคืบหน้าของงานทีมแบบ Real-time ข้อมูลอัปเดตเป๊ะ ควบคุมงานไม่เคยหลุดกรอบ</t>
  </si>
  <si>
    <t>นำข้อมูลจากระบบรายงานผลมาวิเคราะห์และวางมาตรการล่วงหน้าเพื่อลดคอขวดในจุดรับงานซ่อมได้อย่างมีประสิทธิภาพ</t>
  </si>
  <si>
    <t>SEN3</t>
  </si>
  <si>
    <t xml:space="preserve">การประยุกต์ใช้เทคโนโลยีเพื่อลดขั้นตอน
(Process Automation)</t>
  </si>
  <si>
    <t>ต่อต้านการเรียนรู้ซอฟต์แวร์หรือเครื่องมือดิจิทัลใหม่ๆ ที่องค์กรนำมาใช้ ยังคงทำงานแบบเดิมๆ ที่ใช้เวลานานและตกหล่น</t>
  </si>
  <si>
    <t>ใช้เครื่องมือและซอฟต์แวร์ดิจิทัลตามคำสั่งได้ดี แต่อาจไม่มีแนวคิดประยุกต์ใช้เพิ่มประสิทธิภาพเพื่อความสะดวกของทีม</t>
  </si>
  <si>
    <t>ประยุกต์ใช้ฟังก์ชันต่างๆ ในระบบ เช่น จัดเก็บบันทึกข้อมูลผ่าน Google Sheets/Form เพื่อแบ่งเบาขั้นตอนซ้ำซ้อนสำเร็จ</t>
  </si>
  <si>
    <t>ออกแบบระบบจัดเก็บและวิเคราะห์อัตโนมัติ (Dashboard/Auto-alerts) เพื่อเตือนภัยและลดเวลารันงานของทีมได้สมบูรณ์แบบ</t>
  </si>
  <si>
    <t>ลำดับ</t>
  </si>
  <si>
    <t>รูปแบบการทำงาน (Archetype)</t>
  </si>
  <si>
    <t>สเตตัสเด่น</t>
  </si>
  <si>
    <t>คำอธิบาย (อิงหน้างานจริง)</t>
  </si>
  <si>
    <t>อัตลักษณ์ศักยภาพ (Potential Identity)</t>
  </si>
  <si>
    <t>Striker (สายจู่โจมความเร็วสูง)</t>
  </si>
  <si>
    <t>AGI + STR</t>
  </si>
  <si>
    <t>"ไวและเด็ดขาด" ตอบสนองปัญหาลูกค้าได้ทันที (AGI) และมีพลังปะทะควบคุมมาตรฐานผู้รับเหมาอย่างเคร่งครัดจนส่งมอบงานได้ (STR) คือหน่วยกู้ภัยที่เคลียร์เคสเร่งด่วน ได้ดีที่สุด</t>
  </si>
  <si>
    <t>The Blitzkrieg (การรุกคืบฉับพลัน)</t>
  </si>
  <si>
    <t>Blademaster (สายปฏิบัติการเฉียบขาด)</t>
  </si>
  <si>
    <t>DEX + STR</t>
  </si>
  <si>
    <t>"ละเอียดและเด็ดขาด" ตรวจสอบ Defect อย่างแม่นยำไม่ปล่อยผ่าน (DEX) และลงดาบบังคับให้ผู้รับเหมาแก้จนจบเคสยากๆ ได้ (STR)</t>
  </si>
  <si>
    <t>The Perfection (มาตรฐานไร้ที่ติ)</t>
  </si>
  <si>
    <t>Battlemage (สายผสานแผนและการลงมือทำ)</t>
  </si>
  <si>
    <t>INT + STR</t>
  </si>
  <si>
    <t>"วิเคราะห์ลึกและส่งมอบงานเก่ง" หา Root Cause อย่างเป็นระบบ (INT) แล้วนำข้อมูลนั้นไปทุบโต๊ะส่งมอบงานพิพาทกับลูกค้าได้อย่างมีหลักการ (STR)</t>
  </si>
  <si>
    <t>The Adaptation (การพลิกแพลงปรับตัว)</t>
  </si>
  <si>
    <t>Juggernaut (สายลุยงานหนักทรหด)</t>
  </si>
  <si>
    <t>CON + STR</t>
  </si>
  <si>
    <t>"ทนทานและเด็ดขาด" รับอารมณ์ลูกค้าที่เกรี้ยวกราดได้นิ่งสงบ (CON) และยังคงความเด็ดขาดในการต่อรองคุมผู้รับเหมาให้ทำงานต่อได้ (STR)</t>
  </si>
  <si>
    <t>The Endurance (ความทนทานต่อแรงกดดัน)</t>
  </si>
  <si>
    <t>Warlord (สายผู้นำบุกเบิก)</t>
  </si>
  <si>
    <t>SEN + STR</t>
  </si>
  <si>
    <t>"เทคโนโลยีจัดการและเด็ดขาด" ใช้ระบบบริหารคิวติดตามงานเยี่ยม (SEN) ผสานพลังควบคุมมาตรฐานผู้รับเหมาอย่างเคร่งครัดให้ทำงานตามคิวถูกต้องแม่นยำๆ (STR) เป็นแม่ทัพคุมตารางงาน</t>
  </si>
  <si>
    <t>The Commander (ผู้นำการบริหารงาน)</t>
  </si>
  <si>
    <t>Phantom Operative (สายปฏิบัติการไร้ร่องรอย)</t>
  </si>
  <si>
    <t>AGI + DEX</t>
  </si>
  <si>
    <t>"ไวและละเอียด" เข้าตอบสนองเคสด่วนได้รวดเร็ว (AGI) และเก็บรายละเอียดข้อมูลถูกต้องแม่นยำตาม SLA ทุกตัวอักษร (DEX) เคสหายไปอย่างไร้ร่องรอย</t>
  </si>
  <si>
    <t>The Flawless (ผลงานเนียบไร้รอยขีดข่วน)</t>
  </si>
  <si>
    <t>Tactical Runner (สายรุกฉับไวด้วยกลยุทธ์)</t>
  </si>
  <si>
    <t>AGI + INT</t>
  </si>
  <si>
    <t>"ไวและมีแผนป้องกัน" เข้าชาร์จปัญหาเร่งด่วนได้รวดเร็ว (AGI) พร้อมทั้งคิดวิธีป้องกันไม่ให้ปัญหาเดิมเกิดซ้ำในอนาคตไปในตัว (INT)</t>
  </si>
  <si>
    <t>The Opportunist (นักบริหารช่องว่างวิกฤต)</t>
  </si>
  <si>
    <t>Resilient Scout (สายสำรวจและแก้ปัญหาด่วน)</t>
  </si>
  <si>
    <t>AGI + CON</t>
  </si>
  <si>
    <t>"ไวและใจเย็น" ตอบสนองปัญหาว่องไว (AGI) พร้อมรับมือกับอารมณ์ของลูกค้าได้อย่างเข้าอกเข้าใจ ทนแรงเสียดทานขั้นสุด (CON)</t>
  </si>
  <si>
    <t>The Survivor (ผู้หยัดยืนทุกสภาวะ)</t>
  </si>
  <si>
    <t>Pathfinder (สายประสานงานรวดเร็ว)</t>
  </si>
  <si>
    <t>AGI + SEN</t>
  </si>
  <si>
    <t>"ไวและจัดการทรัพยากรเก่ง" เมื่อเกิดเหตุฉุกเฉิน (AGI) ก็สามารถจัดคิวงาน ดึงทีมงานหรือทรัพยากรมาซัพพอร์ตได้ทันทีผ่านระบบ (SEN)</t>
  </si>
  <si>
    <t>The Link (ศูนย์กลางเครือข่ายประสานงาน)</t>
  </si>
  <si>
    <t>System Artisan (สายสร้างสรรค์ระบบสุดเนี้ยบ)</t>
  </si>
  <si>
    <t>DEX + INT</t>
  </si>
  <si>
    <t>"ละเอียดและคิดระบบ" ข้อมูลเคสแม่นยำ SLA ถูกต้องแม่นยำ (DEX) ผสานกับความรู้รากเหง้าปัญหา นำไปสู่การออกแบบระบบป้องกันใหม่ๆ (INT)</t>
  </si>
  <si>
    <t>The Designer (นักออกแบบระบบงาน)</t>
  </si>
  <si>
    <t>Iron Sentinel (สายคุมมาตรฐานสุดแกร่ง)</t>
  </si>
  <si>
    <t>CON + DEX</t>
  </si>
  <si>
    <t>"ใจเย็นและละเอียด" ทนต่อปริมาณงานมหาศาล (CON) แต่ยังคงรักษามาตรฐานความแม่นยำในการตรวจ Defect ได้ไม่ข้อผิดพลาดแม้แต่จุดเดียว (DEX)</t>
  </si>
  <si>
    <t>The Guardian (ผู้พิทักษ์มาตรฐาน)</t>
  </si>
  <si>
    <t>Sniper (สายจับเป้าหมายแม่นยำ)</t>
  </si>
  <si>
    <t>DEX + SEN</t>
  </si>
  <si>
    <t>"ละเอียดและใช้ระบบเก่ง" ใช้ Dashboard/เทคโนโลยี (SEN) ช่วยสแกนจับ Defect และมอนิเตอร์ SLA ที่ข้อผิดพลาดเป้าได้อย่างแม่นยำ (DEX)</t>
  </si>
  <si>
    <t>The Hunter (นักติดตามและล็อกเป้าหมาย)</t>
  </si>
  <si>
    <t>Fortress Architect (สายออกแบบโครงสร้างมั่นคง)</t>
  </si>
  <si>
    <t>CON + INT</t>
  </si>
  <si>
    <t>"ใจเย็นและวิเคราะห์ลึก" รับฟังอารมณ์ลูกค้าอย่างใส่ใจ (CON) เพื่อดึงข้อมูลมาวิเคราะห์รากเหง้าปัญหาเชิงลึก นำไปสร้างนโยบายที่มั่นคง (INT)</t>
  </si>
  <si>
    <t>The Root (ฐานรากอันแข็งแกร่ง)</t>
  </si>
  <si>
    <t>Supreme Tactician (สายเจรจาและวางกลยุทธ์)</t>
  </si>
  <si>
    <t>INT + SEN</t>
  </si>
  <si>
    <t>"วิเคราะห์ลึกและใช้เทคโนโลยี" นำข้อมูลเชิงลึก (INT) มาสร้างเป็น Dashboard หรือ Automation (SEN) เพื่อให้ทีมวางกลยุทธ์ล่วงหน้าได้</t>
  </si>
  <si>
    <t>The Tactician (นักกลยุทธ์)</t>
  </si>
  <si>
    <t>Unbreakable Commander (สายผู้บัญชาการรับแรงกดดัน)</t>
  </si>
  <si>
    <t>CON + SEN</t>
  </si>
  <si>
    <t>"ใจเย็นและบริหารเก่ง" นิ่งสงบกับทุกข้อร้องเรียนลูกค้า (CON) แล้วหันมาใช้ระบบจัดคิวเคลียร์ปัญหาของทีมได้อย่างมีประสิทธิภาพ (SEN)</t>
  </si>
  <si>
    <t>The Unbreakable (ความมั่นคงที่ไม่สั่นคลอน)</t>
  </si>
  <si>
    <t>Swift Guardian (สายผู้พิทักษ์ฉับไว)</t>
  </si>
  <si>
    <t>AGI+CON+DEX</t>
  </si>
  <si>
    <t>ฉับไว, ใจเย็น, ละเอียด: เข้าชาร์จเหตุไว รับแรงกดดันได้ดี และตรวจงานไม่ข้อผิดพลาดมาตรฐาน SLA เปรียบเสมือนผู้พิทักษ์แนวหน้าของลูกค้า</t>
  </si>
  <si>
    <t>The Watcher (ผู้เฝ้าระวังความราบรื่น)</t>
  </si>
  <si>
    <t>Blitz Strategist (สายกลยุทธ์สายฟ้าแลบ)</t>
  </si>
  <si>
    <t>AGI+CON+INT</t>
  </si>
  <si>
    <t>ฉับไว, ใจเย็น, คิดลึก: แก้เหตุฉุกเฉินได้ รับมือลูกค้าเกรี้ยวกราดได้ และยังวิเคราะห์ Root Cause ได้ขาดในเวลาเดียวกัน</t>
  </si>
  <si>
    <t>The Nonstop (แรงขับเคลื่อนอย่างต่อเนื่อง)</t>
  </si>
  <si>
    <t>Vanguard Tracker (สายแกะรอยและระงับเหตุ)</t>
  </si>
  <si>
    <t>AGI+CON+SEN</t>
  </si>
  <si>
    <t>ฉับไว, ใจเย็น, ใช้ระบบเก่ง: วิ่งระงับเหตุไว นิ่งรับมือข้อร้องเรียนได้ดี และจัดคิวดึงระบบมาแทร็กงานต่อได้ทันที</t>
  </si>
  <si>
    <t>The Vanguard (กองหน้าผู้เตรียมพร้อม)</t>
  </si>
  <si>
    <t>Frontline Berserker (สายทะลวงหน้างาน)</t>
  </si>
  <si>
    <t>AGI+CON+STR</t>
  </si>
  <si>
    <t>ฉับไว, ใจเย็น, ส่งมอบงานยาก: วิกฤตเร่งด่วนแค่ไหนก็พุ่งเข้าใส่ รับอารมณ์ลูกค้าได้ และหันไปควบคุมผู้รับเหมาได้อย่างเด็ดขาดจนส่งมอบงานได้</t>
  </si>
  <si>
    <t>The Berserk (ความมุ่งมั่นทะลวงอุปสรรค)</t>
  </si>
  <si>
    <t>Digital Ronin (สายปฏิบัติการอิสระ)</t>
  </si>
  <si>
    <t>AGI+DEX+INT</t>
  </si>
  <si>
    <t>ฉับไว, ละเอียด, คิดระบบ: เคลียร์เคสไว ข้อมูลถูกต้องแม่นยำ SLA ผ่านราบรื่น และต่อยอดความคิดเป็นแผนป้องกันปัญหาซ้ำซากได้</t>
  </si>
  <si>
    <t>The Independent (อิสระในแนวคิด)</t>
  </si>
  <si>
    <t>Mirage Walker (สายจัดการแบบแนบเนียน)</t>
  </si>
  <si>
    <t>AGI+DEX+SEN</t>
  </si>
  <si>
    <t>ฉับไว, ละเอียด, ใช้เทคโนโลยี: ตอบสนองไว ใช้เครื่องมือ Automation เพื่อช่วยตรวจสอบ Defect ทำให้ปิดงานไวและไร้ร่องรอยปัญหา</t>
  </si>
  <si>
    <t>The Mirage (การจัดการอย่างแนบเนียน)</t>
  </si>
  <si>
    <t>Swift Duelist (สายเคลียร์เคสฉับพลัน)</t>
  </si>
  <si>
    <t>AGI+DEX+STR</t>
  </si>
  <si>
    <t>ฉับไว, ละเอียด, ส่งมอบงานยาก: เร็ว แม่นยำ และเด็ดขาด! เคลียร์เคสด่วน ตรวจงานถูกต้องแม่นยำ และควบคุมมาตรฐานผู้รับเหมาอย่างเคร่งครัดจบในทันท่วงที</t>
  </si>
  <si>
    <t>The Quickdraw (การจัดการเด็ดขาดในพริบตา)</t>
  </si>
  <si>
    <t>Spymaster (สายเจาะลึกข้อมูล)</t>
  </si>
  <si>
    <t>AGI+INT+SEN</t>
  </si>
  <si>
    <t>ฉับไว, วิเคราะห์, ใช้ระบบ: ดึง Data จากระบบมาช่วยวิเคราะห์พื้นที่ปฏิบัติงานแบบ Real-time ทำให้ตามเกมเคสฉุกเฉินได้ทัน</t>
  </si>
  <si>
    <t>The Espionage (นักเจาะลึกข้อมูล)</t>
  </si>
  <si>
    <t>Arcane Vanguard (สายทะลวงด้วยปัญญา)</t>
  </si>
  <si>
    <t>AGI+INT+STR</t>
  </si>
  <si>
    <t>ฉับไว, วิเคราะห์, ส่งมอบงานยาก: ตอบสนองต่ออุปสรรคฉับไว วิเคราะห์ขาด แล้วใช้ความรู้บีบให้คู่กรณีหรือผู้รับเหมายอมจำนน</t>
  </si>
  <si>
    <t>The Catalyst (ปัจจัยเร่งความสำเร็จ)</t>
  </si>
  <si>
    <t>Vanguard Warlord (สายแม่ทัพขับเคลื่อน)</t>
  </si>
  <si>
    <t>AGI+SEN+STR</t>
  </si>
  <si>
    <t>ฉับไว, จัดระบบ, ส่งมอบงานยาก: แม่ทัพที่สั่งการคิวงาน ตอบสนองวิกฤตเร่งด่วน และจัดการปัญหาระดับวิกฤตได้อย่างได้อย่างมีประสิทธิภาพ</t>
  </si>
  <si>
    <t>The Kinetic (พลังขับเคลื่อนทีม)</t>
  </si>
  <si>
    <t>Foundation Maestro (สายผู้คุมกฎโครงสร้าง)</t>
  </si>
  <si>
    <t>CON+DEX+INT</t>
  </si>
  <si>
    <t>ใจเย็น, ละเอียด, วิเคราะห์: ภูผาน้ำแข็งที่นิ่ง รับฟังลูกค้า ตรวจงานละเอียดยิบ และนำทุกปัญหามาวางระบบป้องกันระดับโครงสร้าง</t>
  </si>
  <si>
    <t>The Origin (จุดเริ่มต้นของระบบงาน)</t>
  </si>
  <si>
    <t>Titan Warden (สายผู้พิทักษ์มาตรฐาน)</t>
  </si>
  <si>
    <t>CON+DEX+SEN</t>
  </si>
  <si>
    <t>ใจเย็น, ละเอียด, จัดระบบ: ใช้เทคโนโลยีมารักษามาตรฐาน SLA และรับมือกับปริมาณงานล้นมือด้วยความอดทนและเป็นระบบ</t>
  </si>
  <si>
    <t>The Gatekeeper (ผู้คัดกรองและเฝ้าประตูมาตรฐาน)</t>
  </si>
  <si>
    <t>Juggernaut Craftsman (สายช่างฝีมือทรหด)</t>
  </si>
  <si>
    <t>CON+DEX+STR</t>
  </si>
  <si>
    <t>ใจเย็น, ละเอียด, ส่งมอบงานยาก: ทนแรงปะทะลูกค้า ตรวจความความละเอียดระดับสูงของพื้นที่ปฏิบัติงาน และคุมผู้รับเหมาเข้มงวด ช่างฝีมือทรหดของแท้</t>
  </si>
  <si>
    <t>The Xtreme (ขีดสุดแห่งความทุ่มเท)</t>
  </si>
  <si>
    <t>Grand Pillar (สายเสาหลักทีมงาน)</t>
  </si>
  <si>
    <t>CON+INT+SEN</t>
  </si>
  <si>
    <t>ใจเย็น, วิเคราะห์, จัดระบบ: นิ่งสงบ ใช้ระบบคิวทำงาน และนำข้อมูลลูกค้าไปวิเคราะห์ล่วงหน้า เสาหลักที่แสนมั่นคงของทีม</t>
  </si>
  <si>
    <t>The Pillar (ฐานค้ำจุนทีมงาน)</t>
  </si>
  <si>
    <t>Citadel Builder (สายผู้สร้างป้อมปราการ)</t>
  </si>
  <si>
    <t>CON+INT+STR</t>
  </si>
  <si>
    <t xml:space="preserve">ใจเย็น, วิเคราะห์, ส่งมอบงานยาก: รับแรงปะทะจากลูกค้า ใช้ข้อมูลวิเคราะห์หาช่องโหว่ แล้วสะท้อนความรับผิดชอบตอบกลับอย่างเด็ดขาด </t>
  </si>
  <si>
    <t>The Antithesis (การพลิกวิกฤตสถานการณ์)</t>
  </si>
  <si>
    <t>Indomitable Chief (สายผู้นำเด็ดเดี่ยว)</t>
  </si>
  <si>
    <t>CON+SEN+STR</t>
  </si>
  <si>
    <t>ใจเย็น, จัดระบบ, ส่งมอบงานยาก: ผู้นำที่นิ่งสงบ รองรับสภาวะกดดันสูง บริหารคิวทีมงานเยี่ยม และนำทีมเจรจาส่งมอบงานพิพาทที่ยากที่สุดได้</t>
  </si>
  <si>
    <t>The Yieldless (ผู้นำที่ไม่ยอมจำนนต่ออุปสรรค)</t>
  </si>
  <si>
    <t>Visionary Consultant (สายที่ปรึกษาวิสัยทัศน์)</t>
  </si>
  <si>
    <t>DEX+INT+SEN</t>
  </si>
  <si>
    <t>ละเอียด, วิเคราะห์, ใช้ระบบ: ใช้ Dashboard จับตา SLA (DEX) วิเคราะห์ Root Cause และนำเสนอ Workflow ใหม่ๆ ระดับนักวางกลยุทธ์</t>
  </si>
  <si>
    <t>The Visionary (ผู้หยั่งรู้แนวโน้ม)</t>
  </si>
  <si>
    <t>Grandmaster (สายปรมาจารย์)</t>
  </si>
  <si>
    <t>DEX+INT+STR</t>
  </si>
  <si>
    <t>ละเอียด, วิเคราะห์, ส่งมอบงานยาก: ปรมาจารย์ที่แม่นยำข้อมูล วิเคราะห์แผนลึกซึ้ง และมีพลังลงมือทำจนโปรเจกต์ใหญ่จบสมบูรณ์แบบ</t>
  </si>
  <si>
    <t>The Masterpiece (ความเชี่ยวชาญระดับชิ้นเอก)</t>
  </si>
  <si>
    <t>Sharpshooter General (สายแม่ทัพล็อกเป้า)</t>
  </si>
  <si>
    <t>DEX+SEN+STR</t>
  </si>
  <si>
    <t>ละเอียด, จัดระบบ, ส่งมอบงานยาก: ใช้เทคโนโลยีมอนิเตอร์อย่างแม่นยำ ล็อกเป้าปัญหา แล้วส่งพลังเคลียร์เคส/ควบคุมมาตรฐานผู้รับเหมาอย่างเคร่งครัดทันที</t>
  </si>
  <si>
    <t>The X-Axis (จุดตัดแห่งความแม่นยำ)</t>
  </si>
  <si>
    <t>Mastermind Overseer (สายผู้บงการเบ็ดเสร็จ)</t>
  </si>
  <si>
    <t>INT+SEN+STR</t>
  </si>
  <si>
    <t>วิเคราะห์, จัดระบบ, ส่งมอบงานยาก: ผู้บงการเบื้องหลัง ใช้ Automation ประเมินสถานการณ์ แล้วสั่งการเคลียร์เคสพิพาทด้วยข้อมูลและเด็ดขาด</t>
  </si>
  <si>
    <t>The Almighty (ผู้ควบคุมทิศทางเบ็ดเสร็จ)</t>
  </si>
  <si>
    <t>สเตตัสหลัก</t>
  </si>
  <si>
    <t>ความหมาย (อัปเดตตามบริบทหน้างานจริง v2)</t>
  </si>
  <si>
    <t>STR (Strength - ความเด็ดขาด)</t>
  </si>
  <si>
    <t>พลังในการปะทะ การเจรจาปิดเคสพิพาทที่ยากลำบาก และความเด็ดขาดในการคุมผู้รับเหมา</t>
  </si>
  <si>
    <t>AGI (Agility - ความรวดเร็ว)</t>
  </si>
  <si>
    <t>ความไวในการตอบสนองลูกค้า การกระโจนเข้าจัดการเหตุฉุกเฉิน และความยืดหยุ่นหน้างาน</t>
  </si>
  <si>
    <t>DEX (Dexterity - ความประณีต)</t>
  </si>
  <si>
    <t>ความแม่นยำของข้อมูล การตรวจสอบ Defect อย่างละเอียด และการคุมมาตรฐาน SLA</t>
  </si>
  <si>
    <t>INT (Intelligence - การวิเคราะห์)</t>
  </si>
  <si>
    <t>การหาสาเหตุรากเหง้า (Root Cause) ความเชี่ยวชาญระบบงาน และการวางแผนป้องกันปัญหา</t>
  </si>
  <si>
    <t>CON (Constitution - ความทรหด)</t>
  </si>
  <si>
    <t>การควบคุมอารมณ์ภายใต้แรงกดดัน ความเข้าอกเข้าใจลูกค้า (Empathy) และความสม่ำเสมอ</t>
  </si>
  <si>
    <t>SEN (Sensibility - การจัดการและเทคโนโลยี)</t>
  </si>
  <si>
    <t>การบริหารคิวงาน การใช้เทคโนโลยีติดตามสถานะ และการสร้าง Automation ลดขั้นตอน</t>
  </si>
  <si>
    <t>รูปแบบการทำงาน (Archetype Name)</t>
  </si>
  <si>
    <t>คำอธิบาย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</si>
</sst>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rgb="FFFFFFFF"/>
    </font>
  </fonts>
  <fills count="10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9" borderId="0" xfId="0" applyFont="1" applyFill="1"/>
    <xf numFmtId="0" fontId="3" fillId="9" borderId="0" xfId="0" applyFont="1" applyFill="1" applyAlignment="1">
      <alignment vertical="top"/>
    </xf>
    <xf numFmtId="0" fontId="3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zoomScale="100" zoomScaleNormal="100">
      <selection activeCell="F22" sqref="F22"/>
    </sheetView>
  </sheetViews>
  <sheetFormatPr defaultRowHeight="15.75" outlineLevelRow="0" outlineLevelCol="0" x14ac:dyDescent="0.45" customHeight="1"/>
  <sheetData>
    <row r="1" ht="15.7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15.75" customHeight="1" spans="1:2" x14ac:dyDescent="0.25">
      <c r="A3" t="s">
        <v>1</v>
      </c>
      <c r="B3" t="s">
        <v>2</v>
      </c>
    </row>
    <row r="4" ht="15.75" customHeight="1" spans="1:2" x14ac:dyDescent="0.25">
      <c r="A4" t="s">
        <v>3</v>
      </c>
      <c r="B4" t="s">
        <v>4</v>
      </c>
    </row>
    <row r="5" ht="15.75" customHeight="1" spans="1:2" x14ac:dyDescent="0.25">
      <c r="A5" t="s">
        <v>5</v>
      </c>
      <c r="B5" t="s">
        <v>6</v>
      </c>
    </row>
    <row r="6" ht="15.75" customHeight="1" spans="1:2" x14ac:dyDescent="0.25">
      <c r="A6" t="s">
        <v>7</v>
      </c>
      <c r="B6" t="s">
        <v>8</v>
      </c>
    </row>
    <row r="7" ht="15.75" customHeight="1" spans="1:2" x14ac:dyDescent="0.25">
      <c r="A7" t="s">
        <v>9</v>
      </c>
      <c r="B7" t="s">
        <v>10</v>
      </c>
    </row>
    <row r="8" ht="15.75" customHeight="1" spans="1:2" x14ac:dyDescent="0.25">
      <c r="A8" t="s">
        <v>11</v>
      </c>
      <c r="B8" t="s">
        <v>12</v>
      </c>
    </row>
    <row r="9" ht="15.75" customHeight="1" spans="1:2" x14ac:dyDescent="0.25">
      <c r="A9" t="s">
        <v>13</v>
      </c>
      <c r="B9" t="s">
        <v>14</v>
      </c>
    </row>
    <row r="11" ht="15.75" customHeight="1" spans="1:1" x14ac:dyDescent="0.25">
      <c r="A11" t="s">
        <v>15</v>
      </c>
    </row>
    <row r="12" ht="15.75" customHeight="1" spans="1:2" x14ac:dyDescent="0.25">
      <c r="A12" t="s">
        <v>16</v>
      </c>
      <c r="B12" t="s">
        <v>17</v>
      </c>
    </row>
    <row r="13" ht="15.75" customHeight="1" spans="1:2" x14ac:dyDescent="0.25">
      <c r="A13" t="s">
        <v>18</v>
      </c>
      <c r="B13" t="s">
        <v>19</v>
      </c>
    </row>
    <row r="14" ht="15.75" customHeight="1" spans="1:2" x14ac:dyDescent="0.25">
      <c r="A14" t="s">
        <v>20</v>
      </c>
      <c r="B14" t="s">
        <v>21</v>
      </c>
    </row>
    <row r="15" ht="15.75" customHeight="1" spans="1:2" x14ac:dyDescent="0.25">
      <c r="A15" t="s">
        <v>22</v>
      </c>
      <c r="B15" t="s">
        <v>23</v>
      </c>
    </row>
    <row r="16" ht="15.75" customHeight="1" spans="1:2" x14ac:dyDescent="0.25">
      <c r="A16" t="s">
        <v>24</v>
      </c>
      <c r="B16" t="s">
        <v>25</v>
      </c>
    </row>
    <row r="18" ht="15.75" customHeight="1" spans="1:1" x14ac:dyDescent="0.25">
      <c r="A18" t="s">
        <v>26</v>
      </c>
    </row>
    <row r="19" ht="15.75" customHeight="1" spans="1:2" x14ac:dyDescent="0.25">
      <c r="A19" t="s">
        <v>27</v>
      </c>
      <c r="B19" t="s">
        <v>28</v>
      </c>
    </row>
    <row r="20" ht="15.75" customHeight="1" spans="1:2" x14ac:dyDescent="0.25">
      <c r="A20" t="s">
        <v>29</v>
      </c>
      <c r="B20" t="s">
        <v>30</v>
      </c>
    </row>
    <row r="21" ht="15.75" customHeight="1" spans="1:2" x14ac:dyDescent="0.25">
      <c r="A21" t="s">
        <v>31</v>
      </c>
      <c r="B21" t="s">
        <v>32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workbookViewId="0" zoomScale="70" zoomScaleNormal="70">
      <selection activeCell="B24" sqref="B24"/>
    </sheetView>
  </sheetViews>
  <sheetFormatPr defaultRowHeight="15.75" outlineLevelRow="0" outlineLevelCol="0" x14ac:dyDescent="0.45" customHeight="1"/>
  <cols>
    <col min="1" max="1" width="31.73046875" customWidth="1"/>
    <col min="2" max="2" width="18.9296875" customWidth="1"/>
  </cols>
  <sheetData>
    <row r="1" ht="15.75" customHeight="1" spans="1:29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 spans="1:29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</row>
    <row r="3" ht="15.75" customHeight="1" spans="1:29" x14ac:dyDescent="0.25">
      <c r="C3">
        <f t="shared" ref="C3:C25" si="0">ROUND(ROUND(AVERAGE(K3:M3), 1), 0)</f>
        <v>7</v>
      </c>
      <c r="D3">
        <f t="shared" ref="D3:D25" si="1">ROUND(ROUND(AVERAGE(N3:P3), 1), 0)</f>
        <v>7</v>
      </c>
      <c r="E3">
        <f t="shared" ref="E3:E25" si="2">ROUND(ROUND(AVERAGE(Q3:S3), 1), 0)</f>
        <v>8</v>
      </c>
      <c r="F3">
        <f t="shared" ref="F3:F25" si="3">ROUND(ROUND(AVERAGE(T3:W3), 1), 0)</f>
        <v>7</v>
      </c>
      <c r="G3">
        <f t="shared" ref="G3:G25" si="4">ROUND(ROUND(AVERAGE(X3:Z3), 1), 0)</f>
        <v>6</v>
      </c>
      <c r="H3">
        <f t="shared" ref="H3:H25" si="5">ROUND(ROUND(AVERAGE(AA3:AC3), 1), 0)</f>
        <v>7</v>
      </c>
      <c r="I3" t="str">
        <f t="shared" ref="I3:I25" si="6">INDEX($C$2:$H$2, MATCH(MAX(C3:H3), C3:H3, 0))</f>
        <v>DEX เฉลี่ย</v>
      </c>
      <c r="J3" t="str">
        <f t="shared" ref="J3:J25" si="7">INDEX($C$2:$H$2, MATCH(MIN(C3:H3), C3:H3, 0))</f>
        <v>CON เฉลี่ย</v>
      </c>
      <c r="K3">
        <v>7</v>
      </c>
      <c r="L3">
        <v>8</v>
      </c>
      <c r="M3">
        <v>6</v>
      </c>
      <c r="N3">
        <v>8</v>
      </c>
      <c r="O3">
        <v>7</v>
      </c>
      <c r="P3">
        <v>5</v>
      </c>
      <c r="Q3">
        <v>8</v>
      </c>
      <c r="R3">
        <v>8</v>
      </c>
      <c r="S3">
        <v>7</v>
      </c>
      <c r="T3">
        <v>6</v>
      </c>
      <c r="U3">
        <v>6</v>
      </c>
      <c r="V3">
        <v>7</v>
      </c>
      <c r="W3">
        <v>7</v>
      </c>
      <c r="X3">
        <v>7</v>
      </c>
      <c r="Y3">
        <v>5</v>
      </c>
      <c r="Z3">
        <v>6</v>
      </c>
      <c r="AA3">
        <v>6</v>
      </c>
      <c r="AB3">
        <v>7</v>
      </c>
      <c r="AC3">
        <v>8</v>
      </c>
    </row>
    <row r="4" ht="15.75" customHeight="1" spans="1:29" x14ac:dyDescent="0.25">
      <c r="C4">
        <f>ROUND(ROUND(AVERAGE(K4:M4), 1), 0)</f>
        <v>5</v>
      </c>
      <c r="D4">
        <f>ROUND(ROUND(AVERAGE(N4:P4), 1), 0)</f>
        <v>6</v>
      </c>
      <c r="E4">
        <f>ROUND(ROUND(AVERAGE(Q4:S4), 1), 0)</f>
        <v>8</v>
      </c>
      <c r="F4">
        <f>ROUND(ROUND(AVERAGE(T4:W4), 1), 0)</f>
        <v>5</v>
      </c>
      <c r="G4">
        <f>ROUND(ROUND(AVERAGE(X4:Z4), 1), 0)</f>
        <v>7</v>
      </c>
      <c r="H4">
        <f>ROUND(ROUND(AVERAGE(AA4:AC4), 1), 0)</f>
        <v>7</v>
      </c>
      <c r="I4" t="str">
        <f t="shared" si="6"/>
        <v>DEX เฉลี่ย</v>
      </c>
      <c r="J4" t="str">
        <f t="shared" si="7"/>
        <v>STR เฉลี่ย</v>
      </c>
      <c r="K4">
        <v>5</v>
      </c>
      <c r="L4">
        <v>5</v>
      </c>
      <c r="M4">
        <v>6</v>
      </c>
      <c r="N4">
        <v>6</v>
      </c>
      <c r="O4">
        <v>7</v>
      </c>
      <c r="P4">
        <v>6</v>
      </c>
      <c r="Q4">
        <v>9</v>
      </c>
      <c r="R4">
        <v>8</v>
      </c>
      <c r="S4">
        <v>8</v>
      </c>
      <c r="T4">
        <v>5</v>
      </c>
      <c r="U4">
        <v>6</v>
      </c>
      <c r="V4">
        <v>5</v>
      </c>
      <c r="W4">
        <v>5</v>
      </c>
      <c r="X4">
        <v>6</v>
      </c>
      <c r="Y4">
        <v>7</v>
      </c>
      <c r="Z4">
        <v>7</v>
      </c>
      <c r="AA4">
        <v>6</v>
      </c>
      <c r="AB4">
        <v>7</v>
      </c>
      <c r="AC4">
        <v>7</v>
      </c>
    </row>
    <row r="5" ht="15.75" customHeight="1" spans="1:29" x14ac:dyDescent="0.25">
      <c r="C5">
        <f>ROUND(ROUND(AVERAGE(K5:M5), 1), 0)</f>
        <v>6</v>
      </c>
      <c r="D5">
        <f>ROUND(ROUND(AVERAGE(N5:P5), 1), 0)</f>
        <v>6</v>
      </c>
      <c r="E5">
        <f>ROUND(ROUND(AVERAGE(Q5:S5), 1), 0)</f>
        <v>7</v>
      </c>
      <c r="F5">
        <f>ROUND(ROUND(AVERAGE(T5:W5), 1), 0)</f>
        <v>7</v>
      </c>
      <c r="G5">
        <f>ROUND(ROUND(AVERAGE(X5:Z5), 1), 0)</f>
        <v>8</v>
      </c>
      <c r="H5">
        <f>ROUND(ROUND(AVERAGE(AA5:AC5), 1), 0)</f>
        <v>7</v>
      </c>
      <c r="I5" t="str">
        <f t="shared" si="6"/>
        <v>CON เฉลี่ย</v>
      </c>
      <c r="J5" t="str">
        <f t="shared" si="7"/>
        <v>STR เฉลี่ย</v>
      </c>
      <c r="K5">
        <v>6</v>
      </c>
      <c r="L5">
        <v>6</v>
      </c>
      <c r="M5">
        <v>7</v>
      </c>
      <c r="N5">
        <v>5</v>
      </c>
      <c r="O5">
        <v>7</v>
      </c>
      <c r="P5">
        <v>6</v>
      </c>
      <c r="Q5">
        <v>7</v>
      </c>
      <c r="R5">
        <v>8</v>
      </c>
      <c r="S5">
        <v>7</v>
      </c>
      <c r="T5">
        <v>8</v>
      </c>
      <c r="U5">
        <v>8</v>
      </c>
      <c r="V5">
        <v>7</v>
      </c>
      <c r="W5">
        <v>6</v>
      </c>
      <c r="X5">
        <v>7</v>
      </c>
      <c r="Y5">
        <v>8</v>
      </c>
      <c r="Z5">
        <v>8</v>
      </c>
      <c r="AA5">
        <v>7</v>
      </c>
      <c r="AB5">
        <v>6</v>
      </c>
      <c r="AC5">
        <v>7</v>
      </c>
    </row>
    <row r="6" ht="15.75" customHeight="1" spans="1:29" x14ac:dyDescent="0.25">
      <c r="A6" t="s">
        <v>63</v>
      </c>
      <c r="B6" t="s">
        <v>64</v>
      </c>
      <c r="C6">
        <f>ROUND(ROUND(AVERAGE(K6:M6), 1), 0)</f>
        <v>7</v>
      </c>
      <c r="D6">
        <f>ROUND(ROUND(AVERAGE(N6:P6), 1), 0)</f>
        <v>6</v>
      </c>
      <c r="E6">
        <f>ROUND(ROUND(AVERAGE(Q6:S6), 1), 0)</f>
        <v>6</v>
      </c>
      <c r="F6">
        <f>ROUND(ROUND(AVERAGE(T6:W6), 1), 0)</f>
        <v>7</v>
      </c>
      <c r="G6">
        <f>ROUND(ROUND(AVERAGE(X6:Z6), 1), 0)</f>
        <v>6</v>
      </c>
      <c r="H6">
        <f>ROUND(ROUND(AVERAGE(AA6:AC6), 1), 0)</f>
        <v>7</v>
      </c>
      <c r="I6" t="str">
        <f t="shared" si="6"/>
        <v>STR เฉลี่ย</v>
      </c>
      <c r="J6" t="str">
        <f t="shared" si="7"/>
        <v>AGI เฉลี่ย</v>
      </c>
      <c r="K6">
        <v>7</v>
      </c>
      <c r="L6">
        <v>6</v>
      </c>
      <c r="M6">
        <v>7</v>
      </c>
      <c r="N6">
        <v>6</v>
      </c>
      <c r="O6">
        <v>6</v>
      </c>
      <c r="P6">
        <v>6</v>
      </c>
      <c r="Q6">
        <v>6</v>
      </c>
      <c r="R6">
        <v>5</v>
      </c>
      <c r="S6">
        <v>6</v>
      </c>
      <c r="T6">
        <v>6</v>
      </c>
      <c r="U6">
        <v>7</v>
      </c>
      <c r="V6">
        <v>7</v>
      </c>
      <c r="W6">
        <v>8</v>
      </c>
      <c r="X6">
        <v>5</v>
      </c>
      <c r="Y6">
        <v>6</v>
      </c>
      <c r="Z6">
        <v>6</v>
      </c>
      <c r="AA6">
        <v>6</v>
      </c>
      <c r="AB6">
        <v>8</v>
      </c>
      <c r="AC6">
        <v>8</v>
      </c>
    </row>
    <row r="7" ht="15.75" customHeight="1" spans="1:10" x14ac:dyDescent="0.25">
      <c r="C7" t="e">
        <f t="shared" si="0"/>
        <v>#DIV/0!</v>
      </c>
      <c r="D7" t="e">
        <f t="shared" si="1"/>
        <v>#DIV/0!</v>
      </c>
      <c r="E7" t="e">
        <f t="shared" si="2"/>
        <v>#DIV/0!</v>
      </c>
      <c r="F7" t="e">
        <f t="shared" si="3"/>
        <v>#DIV/0!</v>
      </c>
      <c r="G7" t="e">
        <f t="shared" si="4"/>
        <v>#DIV/0!</v>
      </c>
      <c r="H7" t="e">
        <f t="shared" si="5"/>
        <v>#DIV/0!</v>
      </c>
      <c r="I7" t="e">
        <f t="shared" si="6"/>
        <v>#DIV/0!</v>
      </c>
      <c r="J7" t="e">
        <f t="shared" si="7"/>
        <v>#DIV/0!</v>
      </c>
    </row>
    <row r="8" ht="15.75" customHeight="1" spans="1:10" x14ac:dyDescent="0.25">
      <c r="C8" t="e">
        <f t="shared" si="0"/>
        <v>#DIV/0!</v>
      </c>
      <c r="D8" t="e">
        <f t="shared" si="1"/>
        <v>#DIV/0!</v>
      </c>
      <c r="E8" t="e">
        <f t="shared" si="2"/>
        <v>#DIV/0!</v>
      </c>
      <c r="F8" t="e">
        <f t="shared" si="3"/>
        <v>#DIV/0!</v>
      </c>
      <c r="G8" t="e">
        <f t="shared" si="4"/>
        <v>#DIV/0!</v>
      </c>
      <c r="H8" t="e">
        <f t="shared" si="5"/>
        <v>#DIV/0!</v>
      </c>
      <c r="I8" t="e">
        <f t="shared" si="6"/>
        <v>#DIV/0!</v>
      </c>
      <c r="J8" t="e">
        <f t="shared" si="7"/>
        <v>#DIV/0!</v>
      </c>
    </row>
    <row r="9" ht="15.75" customHeight="1" spans="1:10" x14ac:dyDescent="0.25">
      <c r="C9" t="e">
        <f t="shared" si="0"/>
        <v>#DIV/0!</v>
      </c>
      <c r="D9" t="e">
        <f t="shared" si="1"/>
        <v>#DIV/0!</v>
      </c>
      <c r="E9" t="e">
        <f t="shared" si="2"/>
        <v>#DIV/0!</v>
      </c>
      <c r="F9" t="e">
        <f t="shared" si="3"/>
        <v>#DIV/0!</v>
      </c>
      <c r="G9" t="e">
        <f t="shared" si="4"/>
        <v>#DIV/0!</v>
      </c>
      <c r="H9" t="e">
        <f t="shared" si="5"/>
        <v>#DIV/0!</v>
      </c>
      <c r="I9" t="e">
        <f t="shared" si="6"/>
        <v>#DIV/0!</v>
      </c>
      <c r="J9" t="e">
        <f t="shared" si="7"/>
        <v>#DIV/0!</v>
      </c>
    </row>
    <row r="10" ht="15.75" customHeight="1" spans="1:10" x14ac:dyDescent="0.25">
      <c r="C10" t="e">
        <f t="shared" si="0"/>
        <v>#DIV/0!</v>
      </c>
      <c r="D10" t="e">
        <f t="shared" si="1"/>
        <v>#DIV/0!</v>
      </c>
      <c r="E10" t="e">
        <f t="shared" si="2"/>
        <v>#DIV/0!</v>
      </c>
      <c r="F10" t="e">
        <f t="shared" si="3"/>
        <v>#DIV/0!</v>
      </c>
      <c r="G10" t="e">
        <f t="shared" si="4"/>
        <v>#DIV/0!</v>
      </c>
      <c r="H10" t="e">
        <f t="shared" si="5"/>
        <v>#DIV/0!</v>
      </c>
      <c r="I10" t="e">
        <f t="shared" si="6"/>
        <v>#DIV/0!</v>
      </c>
      <c r="J10" t="e">
        <f t="shared" si="7"/>
        <v>#DIV/0!</v>
      </c>
    </row>
    <row r="11" ht="15.75" customHeight="1" spans="1:10" x14ac:dyDescent="0.25">
      <c r="C11" t="e">
        <f t="shared" si="0"/>
        <v>#DIV/0!</v>
      </c>
      <c r="D11" t="e">
        <f t="shared" si="1"/>
        <v>#DIV/0!</v>
      </c>
      <c r="E11" t="e">
        <f t="shared" si="2"/>
        <v>#DIV/0!</v>
      </c>
      <c r="F11" t="e">
        <f t="shared" si="3"/>
        <v>#DIV/0!</v>
      </c>
      <c r="G11" t="e">
        <f t="shared" si="4"/>
        <v>#DIV/0!</v>
      </c>
      <c r="H11" t="e">
        <f t="shared" si="5"/>
        <v>#DIV/0!</v>
      </c>
      <c r="I11" t="e">
        <f t="shared" si="6"/>
        <v>#DIV/0!</v>
      </c>
      <c r="J11" t="e">
        <f t="shared" si="7"/>
        <v>#DIV/0!</v>
      </c>
    </row>
    <row r="12" ht="15.75" customHeight="1" spans="1:10" x14ac:dyDescent="0.25">
      <c r="C12" t="e">
        <f t="shared" si="0"/>
        <v>#DIV/0!</v>
      </c>
      <c r="D12" t="e">
        <f t="shared" si="1"/>
        <v>#DIV/0!</v>
      </c>
      <c r="E12" t="e">
        <f t="shared" si="2"/>
        <v>#DIV/0!</v>
      </c>
      <c r="F12" t="e">
        <f t="shared" si="3"/>
        <v>#DIV/0!</v>
      </c>
      <c r="G12" t="e">
        <f t="shared" si="4"/>
        <v>#DIV/0!</v>
      </c>
      <c r="H12" t="e">
        <f t="shared" si="5"/>
        <v>#DIV/0!</v>
      </c>
      <c r="I12" t="e">
        <f t="shared" si="6"/>
        <v>#DIV/0!</v>
      </c>
      <c r="J12" t="e">
        <f t="shared" si="7"/>
        <v>#DIV/0!</v>
      </c>
    </row>
    <row r="13" ht="15.75" customHeight="1" spans="1:10" x14ac:dyDescent="0.25">
      <c r="C13" t="e">
        <f t="shared" si="0"/>
        <v>#DIV/0!</v>
      </c>
      <c r="D13" t="e">
        <f t="shared" si="1"/>
        <v>#DIV/0!</v>
      </c>
      <c r="E13" t="e">
        <f t="shared" si="2"/>
        <v>#DIV/0!</v>
      </c>
      <c r="F13" t="e">
        <f t="shared" si="3"/>
        <v>#DIV/0!</v>
      </c>
      <c r="G13" t="e">
        <f t="shared" si="4"/>
        <v>#DIV/0!</v>
      </c>
      <c r="H13" t="e">
        <f t="shared" si="5"/>
        <v>#DIV/0!</v>
      </c>
      <c r="I13" t="e">
        <f t="shared" si="6"/>
        <v>#DIV/0!</v>
      </c>
      <c r="J13" t="e">
        <f t="shared" si="7"/>
        <v>#DIV/0!</v>
      </c>
    </row>
    <row r="14" ht="15.75" customHeight="1" spans="1:10" x14ac:dyDescent="0.25">
      <c r="C14" t="e">
        <f t="shared" si="0"/>
        <v>#DIV/0!</v>
      </c>
      <c r="D14" t="e">
        <f t="shared" si="1"/>
        <v>#DIV/0!</v>
      </c>
      <c r="E14" t="e">
        <f t="shared" si="2"/>
        <v>#DIV/0!</v>
      </c>
      <c r="F14" t="e">
        <f t="shared" si="3"/>
        <v>#DIV/0!</v>
      </c>
      <c r="G14" t="e">
        <f t="shared" si="4"/>
        <v>#DIV/0!</v>
      </c>
      <c r="H14" t="e">
        <f t="shared" si="5"/>
        <v>#DIV/0!</v>
      </c>
      <c r="I14" t="e">
        <f t="shared" si="6"/>
        <v>#DIV/0!</v>
      </c>
      <c r="J14" t="e">
        <f t="shared" si="7"/>
        <v>#DIV/0!</v>
      </c>
    </row>
    <row r="15" ht="15.75" customHeight="1" spans="1:10" x14ac:dyDescent="0.25">
      <c r="C15" t="e">
        <f t="shared" si="0"/>
        <v>#DIV/0!</v>
      </c>
      <c r="D15" t="e">
        <f t="shared" si="1"/>
        <v>#DIV/0!</v>
      </c>
      <c r="E15" t="e">
        <f t="shared" si="2"/>
        <v>#DIV/0!</v>
      </c>
      <c r="F15" t="e">
        <f t="shared" si="3"/>
        <v>#DIV/0!</v>
      </c>
      <c r="G15" t="e">
        <f t="shared" si="4"/>
        <v>#DIV/0!</v>
      </c>
      <c r="H15" t="e">
        <f t="shared" si="5"/>
        <v>#DIV/0!</v>
      </c>
      <c r="I15" t="e">
        <f t="shared" si="6"/>
        <v>#DIV/0!</v>
      </c>
      <c r="J15" t="e">
        <f t="shared" si="7"/>
        <v>#DIV/0!</v>
      </c>
    </row>
    <row r="16" ht="15.75" customHeight="1" spans="1:10" x14ac:dyDescent="0.25">
      <c r="C16" t="e">
        <f t="shared" si="0"/>
        <v>#DIV/0!</v>
      </c>
      <c r="D16" t="e">
        <f t="shared" si="1"/>
        <v>#DIV/0!</v>
      </c>
      <c r="E16" t="e">
        <f t="shared" si="2"/>
        <v>#DIV/0!</v>
      </c>
      <c r="F16" t="e">
        <f t="shared" si="3"/>
        <v>#DIV/0!</v>
      </c>
      <c r="G16" t="e">
        <f t="shared" si="4"/>
        <v>#DIV/0!</v>
      </c>
      <c r="H16" t="e">
        <f t="shared" si="5"/>
        <v>#DIV/0!</v>
      </c>
      <c r="I16" t="e">
        <f t="shared" si="6"/>
        <v>#DIV/0!</v>
      </c>
      <c r="J16" t="e">
        <f t="shared" si="7"/>
        <v>#DIV/0!</v>
      </c>
    </row>
    <row r="17" ht="15.75" customHeight="1" spans="1:10" x14ac:dyDescent="0.25">
      <c r="C17" t="e">
        <f t="shared" si="0"/>
        <v>#DIV/0!</v>
      </c>
      <c r="D17" t="e">
        <f t="shared" si="1"/>
        <v>#DIV/0!</v>
      </c>
      <c r="E17" t="e">
        <f t="shared" si="2"/>
        <v>#DIV/0!</v>
      </c>
      <c r="F17" t="e">
        <f t="shared" si="3"/>
        <v>#DIV/0!</v>
      </c>
      <c r="G17" t="e">
        <f t="shared" si="4"/>
        <v>#DIV/0!</v>
      </c>
      <c r="H17" t="e">
        <f t="shared" si="5"/>
        <v>#DIV/0!</v>
      </c>
      <c r="I17" t="e">
        <f t="shared" si="6"/>
        <v>#DIV/0!</v>
      </c>
      <c r="J17" t="e">
        <f t="shared" si="7"/>
        <v>#DIV/0!</v>
      </c>
    </row>
    <row r="18" ht="15.75" customHeight="1" spans="1:10" x14ac:dyDescent="0.25">
      <c r="C18" t="e">
        <f t="shared" si="0"/>
        <v>#DIV/0!</v>
      </c>
      <c r="D18" t="e">
        <f t="shared" si="1"/>
        <v>#DIV/0!</v>
      </c>
      <c r="E18" t="e">
        <f t="shared" si="2"/>
        <v>#DIV/0!</v>
      </c>
      <c r="F18" t="e">
        <f t="shared" si="3"/>
        <v>#DIV/0!</v>
      </c>
      <c r="G18" t="e">
        <f t="shared" si="4"/>
        <v>#DIV/0!</v>
      </c>
      <c r="H18" t="e">
        <f t="shared" si="5"/>
        <v>#DIV/0!</v>
      </c>
      <c r="I18" t="e">
        <f t="shared" si="6"/>
        <v>#DIV/0!</v>
      </c>
      <c r="J18" t="e">
        <f t="shared" si="7"/>
        <v>#DIV/0!</v>
      </c>
    </row>
    <row r="19" ht="15.75" customHeight="1" spans="1:10" x14ac:dyDescent="0.25">
      <c r="C19" t="e">
        <f t="shared" si="0"/>
        <v>#DIV/0!</v>
      </c>
      <c r="D19" t="e">
        <f t="shared" si="1"/>
        <v>#DIV/0!</v>
      </c>
      <c r="E19" t="e">
        <f t="shared" si="2"/>
        <v>#DIV/0!</v>
      </c>
      <c r="F19" t="e">
        <f t="shared" si="3"/>
        <v>#DIV/0!</v>
      </c>
      <c r="G19" t="e">
        <f t="shared" si="4"/>
        <v>#DIV/0!</v>
      </c>
      <c r="H19" t="e">
        <f t="shared" si="5"/>
        <v>#DIV/0!</v>
      </c>
      <c r="I19" t="e">
        <f t="shared" si="6"/>
        <v>#DIV/0!</v>
      </c>
      <c r="J19" t="e">
        <f t="shared" si="7"/>
        <v>#DIV/0!</v>
      </c>
    </row>
    <row r="20" ht="15.75" customHeight="1" spans="1:10" x14ac:dyDescent="0.25">
      <c r="C20" t="e">
        <f t="shared" si="0"/>
        <v>#DIV/0!</v>
      </c>
      <c r="D20" t="e">
        <f t="shared" si="1"/>
        <v>#DIV/0!</v>
      </c>
      <c r="E20" t="e">
        <f t="shared" si="2"/>
        <v>#DIV/0!</v>
      </c>
      <c r="F20" t="e">
        <f t="shared" si="3"/>
        <v>#DIV/0!</v>
      </c>
      <c r="G20" t="e">
        <f t="shared" si="4"/>
        <v>#DIV/0!</v>
      </c>
      <c r="H20" t="e">
        <f t="shared" si="5"/>
        <v>#DIV/0!</v>
      </c>
      <c r="I20" t="e">
        <f t="shared" si="6"/>
        <v>#DIV/0!</v>
      </c>
      <c r="J20" t="e">
        <f t="shared" si="7"/>
        <v>#DIV/0!</v>
      </c>
    </row>
    <row r="21" ht="15.75" customHeight="1" spans="1:10" x14ac:dyDescent="0.25">
      <c r="C21" t="e">
        <f t="shared" si="0"/>
        <v>#DIV/0!</v>
      </c>
      <c r="D21" t="e">
        <f t="shared" si="1"/>
        <v>#DIV/0!</v>
      </c>
      <c r="E21" t="e">
        <f t="shared" si="2"/>
        <v>#DIV/0!</v>
      </c>
      <c r="F21" t="e">
        <f t="shared" si="3"/>
        <v>#DIV/0!</v>
      </c>
      <c r="G21" t="e">
        <f t="shared" si="4"/>
        <v>#DIV/0!</v>
      </c>
      <c r="H21" t="e">
        <f t="shared" si="5"/>
        <v>#DIV/0!</v>
      </c>
      <c r="I21" t="e">
        <f t="shared" si="6"/>
        <v>#DIV/0!</v>
      </c>
      <c r="J21" t="e">
        <f t="shared" si="7"/>
        <v>#DIV/0!</v>
      </c>
    </row>
    <row r="22" ht="15.75" customHeight="1" spans="1:10" x14ac:dyDescent="0.25">
      <c r="C22" t="e">
        <f t="shared" si="0"/>
        <v>#DIV/0!</v>
      </c>
      <c r="D22" t="e">
        <f t="shared" si="1"/>
        <v>#DIV/0!</v>
      </c>
      <c r="E22" t="e">
        <f t="shared" si="2"/>
        <v>#DIV/0!</v>
      </c>
      <c r="F22" t="e">
        <f t="shared" si="3"/>
        <v>#DIV/0!</v>
      </c>
      <c r="G22" t="e">
        <f t="shared" si="4"/>
        <v>#DIV/0!</v>
      </c>
      <c r="H22" t="e">
        <f t="shared" si="5"/>
        <v>#DIV/0!</v>
      </c>
      <c r="I22" t="e">
        <f t="shared" si="6"/>
        <v>#DIV/0!</v>
      </c>
      <c r="J22" t="e">
        <f t="shared" si="7"/>
        <v>#DIV/0!</v>
      </c>
    </row>
    <row r="23" ht="15.75" customHeight="1" spans="1:10" x14ac:dyDescent="0.25">
      <c r="C23" t="e">
        <f t="shared" si="0"/>
        <v>#DIV/0!</v>
      </c>
      <c r="D23" t="e">
        <f t="shared" si="1"/>
        <v>#DIV/0!</v>
      </c>
      <c r="E23" t="e">
        <f t="shared" si="2"/>
        <v>#DIV/0!</v>
      </c>
      <c r="F23" t="e">
        <f t="shared" si="3"/>
        <v>#DIV/0!</v>
      </c>
      <c r="G23" t="e">
        <f t="shared" si="4"/>
        <v>#DIV/0!</v>
      </c>
      <c r="H23" t="e">
        <f t="shared" si="5"/>
        <v>#DIV/0!</v>
      </c>
      <c r="I23" t="e">
        <f t="shared" si="6"/>
        <v>#DIV/0!</v>
      </c>
      <c r="J23" t="e">
        <f t="shared" si="7"/>
        <v>#DIV/0!</v>
      </c>
    </row>
    <row r="24" ht="15.75" customHeight="1" spans="1:10" x14ac:dyDescent="0.25">
      <c r="C24" t="e">
        <f t="shared" si="0"/>
        <v>#DIV/0!</v>
      </c>
      <c r="D24" t="e">
        <f t="shared" si="1"/>
        <v>#DIV/0!</v>
      </c>
      <c r="E24" t="e">
        <f t="shared" si="2"/>
        <v>#DIV/0!</v>
      </c>
      <c r="F24" t="e">
        <f t="shared" si="3"/>
        <v>#DIV/0!</v>
      </c>
      <c r="G24" t="e">
        <f t="shared" si="4"/>
        <v>#DIV/0!</v>
      </c>
      <c r="H24" t="e">
        <f t="shared" si="5"/>
        <v>#DIV/0!</v>
      </c>
      <c r="I24" t="e">
        <f t="shared" si="6"/>
        <v>#DIV/0!</v>
      </c>
      <c r="J24" t="e">
        <f t="shared" si="7"/>
        <v>#DIV/0!</v>
      </c>
    </row>
    <row r="25" ht="15.75" customHeight="1" spans="1:10" x14ac:dyDescent="0.25">
      <c r="C25" t="e">
        <f t="shared" si="0"/>
        <v>#DIV/0!</v>
      </c>
      <c r="D25" t="e">
        <f t="shared" si="1"/>
        <v>#DIV/0!</v>
      </c>
      <c r="E25" t="e">
        <f t="shared" si="2"/>
        <v>#DIV/0!</v>
      </c>
      <c r="F25" t="e">
        <f t="shared" si="3"/>
        <v>#DIV/0!</v>
      </c>
      <c r="G25" t="e">
        <f t="shared" si="4"/>
        <v>#DIV/0!</v>
      </c>
      <c r="H25" t="e">
        <f t="shared" si="5"/>
        <v>#DIV/0!</v>
      </c>
      <c r="I25" t="e">
        <f t="shared" si="6"/>
        <v>#DIV/0!</v>
      </c>
      <c r="J25" t="e">
        <f t="shared" si="7"/>
        <v>#DIV/0!</v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55" zoomScaleNormal="55">
      <selection activeCell="D17" sqref="D17"/>
    </sheetView>
  </sheetViews>
  <sheetFormatPr defaultRowHeight="15.75" outlineLevelRow="0" outlineLevelCol="0" x14ac:dyDescent="0.45" defaultColWidth="70.53125" customHeight="1"/>
  <cols>
    <col min="1" max="1" width="45.9296875" style="2" customWidth="1"/>
    <col min="2" max="2" width="10.53125" style="2" customWidth="1"/>
    <col min="3" max="3" width="70.53125" style="3" customWidth="1"/>
    <col min="4" max="4" width="76.796875" style="3" customWidth="1"/>
    <col min="5" max="5" width="95.6640625" style="3" customWidth="1"/>
    <col min="6" max="7" width="70.53125" style="3" customWidth="1"/>
    <col min="8" max="16384" width="70.53125" style="2" customWidth="1"/>
  </cols>
  <sheetData>
    <row r="1" spans="1:7" x14ac:dyDescent="0.25">
      <c r="A1" s="2" t="s">
        <v>65</v>
      </c>
      <c r="B1" s="2"/>
      <c r="C1" s="2"/>
      <c r="D1" s="2"/>
      <c r="E1" s="2"/>
      <c r="F1" s="2"/>
      <c r="G1" s="2"/>
    </row>
    <row r="2" spans="1:7" x14ac:dyDescent="0.25">
      <c r="A2" s="2" t="s">
        <v>66</v>
      </c>
      <c r="B2" s="2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</row>
    <row r="3" ht="31.5" customHeight="1" spans="1:7" x14ac:dyDescent="0.25">
      <c r="A3" s="4" t="s">
        <v>73</v>
      </c>
      <c r="B3" s="4" t="s">
        <v>74</v>
      </c>
      <c r="C3" s="5" t="s">
        <v>75</v>
      </c>
      <c r="D3" s="5" t="s">
        <v>76</v>
      </c>
      <c r="E3" s="5" t="s">
        <v>77</v>
      </c>
      <c r="F3" s="5" t="s">
        <v>78</v>
      </c>
      <c r="G3" s="5" t="s">
        <v>79</v>
      </c>
    </row>
    <row r="4" ht="31.5" customHeight="1" spans="1:7" x14ac:dyDescent="0.25">
      <c r="A4" s="4"/>
      <c r="B4" s="4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5" t="s">
        <v>85</v>
      </c>
    </row>
    <row r="5" ht="31.5" customHeight="1" spans="1:7" x14ac:dyDescent="0.25">
      <c r="A5" s="4"/>
      <c r="B5" s="4" t="s">
        <v>86</v>
      </c>
      <c r="C5" s="5" t="s">
        <v>87</v>
      </c>
      <c r="D5" s="5" t="s">
        <v>88</v>
      </c>
      <c r="E5" s="5" t="s">
        <v>89</v>
      </c>
      <c r="F5" s="5" t="s">
        <v>90</v>
      </c>
      <c r="G5" s="5" t="s">
        <v>91</v>
      </c>
    </row>
    <row r="6" ht="31.5" customHeight="1" spans="1:7" x14ac:dyDescent="0.25">
      <c r="A6" s="6" t="s">
        <v>92</v>
      </c>
      <c r="B6" s="6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7" t="s">
        <v>98</v>
      </c>
    </row>
    <row r="7" ht="31.5" customHeight="1" spans="1:7" x14ac:dyDescent="0.25">
      <c r="A7" s="6"/>
      <c r="B7" s="6" t="s">
        <v>99</v>
      </c>
      <c r="C7" s="7" t="s">
        <v>100</v>
      </c>
      <c r="D7" s="7" t="s">
        <v>101</v>
      </c>
      <c r="E7" s="7" t="s">
        <v>102</v>
      </c>
      <c r="F7" s="7" t="s">
        <v>103</v>
      </c>
      <c r="G7" s="7" t="s">
        <v>104</v>
      </c>
    </row>
    <row r="8" ht="31.5" customHeight="1" spans="1:7" x14ac:dyDescent="0.25">
      <c r="A8" s="6"/>
      <c r="B8" s="6" t="s">
        <v>105</v>
      </c>
      <c r="C8" s="7" t="s">
        <v>106</v>
      </c>
      <c r="D8" s="7" t="s">
        <v>107</v>
      </c>
      <c r="E8" s="7" t="s">
        <v>108</v>
      </c>
      <c r="F8" s="7" t="s">
        <v>109</v>
      </c>
      <c r="G8" s="7" t="s">
        <v>110</v>
      </c>
    </row>
    <row r="9" ht="31.5" customHeight="1" spans="1:7" x14ac:dyDescent="0.25">
      <c r="A9" s="8" t="s">
        <v>111</v>
      </c>
      <c r="B9" s="8" t="s">
        <v>112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117</v>
      </c>
    </row>
    <row r="10" ht="31.5" customHeight="1" spans="1:7" x14ac:dyDescent="0.25">
      <c r="A10" s="8"/>
      <c r="B10" s="8" t="s">
        <v>118</v>
      </c>
      <c r="C10" s="9" t="s">
        <v>119</v>
      </c>
      <c r="D10" s="9" t="s">
        <v>120</v>
      </c>
      <c r="E10" s="9" t="s">
        <v>121</v>
      </c>
      <c r="F10" s="9" t="s">
        <v>122</v>
      </c>
      <c r="G10" s="9" t="s">
        <v>123</v>
      </c>
    </row>
    <row r="11" ht="31.5" customHeight="1" spans="1:7" x14ac:dyDescent="0.25">
      <c r="A11" s="8"/>
      <c r="B11" s="8" t="s">
        <v>124</v>
      </c>
      <c r="C11" s="9" t="s">
        <v>125</v>
      </c>
      <c r="D11" s="9" t="s">
        <v>126</v>
      </c>
      <c r="E11" s="9" t="s">
        <v>127</v>
      </c>
      <c r="F11" s="9" t="s">
        <v>128</v>
      </c>
      <c r="G11" s="9" t="s">
        <v>129</v>
      </c>
    </row>
    <row r="12" ht="31.5" customHeight="1" spans="1:7" x14ac:dyDescent="0.25">
      <c r="A12" s="10" t="s">
        <v>130</v>
      </c>
      <c r="B12" s="10" t="s">
        <v>131</v>
      </c>
      <c r="C12" s="11" t="s">
        <v>132</v>
      </c>
      <c r="D12" s="11" t="s">
        <v>133</v>
      </c>
      <c r="E12" s="11" t="s">
        <v>134</v>
      </c>
      <c r="F12" s="11" t="s">
        <v>135</v>
      </c>
      <c r="G12" s="11" t="s">
        <v>136</v>
      </c>
    </row>
    <row r="13" ht="31.5" customHeight="1" spans="1:7" x14ac:dyDescent="0.25">
      <c r="A13" s="10"/>
      <c r="B13" s="10" t="s">
        <v>137</v>
      </c>
      <c r="C13" s="11" t="s">
        <v>138</v>
      </c>
      <c r="D13" s="11" t="s">
        <v>139</v>
      </c>
      <c r="E13" s="11" t="s">
        <v>140</v>
      </c>
      <c r="F13" s="11" t="s">
        <v>141</v>
      </c>
      <c r="G13" s="11" t="s">
        <v>142</v>
      </c>
    </row>
    <row r="14" ht="31.5" customHeight="1" spans="1:7" x14ac:dyDescent="0.25">
      <c r="A14" s="10"/>
      <c r="B14" s="10" t="s">
        <v>143</v>
      </c>
      <c r="C14" s="11" t="s">
        <v>144</v>
      </c>
      <c r="D14" s="11" t="s">
        <v>145</v>
      </c>
      <c r="E14" s="11" t="s">
        <v>146</v>
      </c>
      <c r="F14" s="11" t="s">
        <v>147</v>
      </c>
      <c r="G14" s="11" t="s">
        <v>148</v>
      </c>
    </row>
    <row r="15" ht="31.5" customHeight="1" spans="1:7" x14ac:dyDescent="0.25">
      <c r="A15" s="12" t="s">
        <v>149</v>
      </c>
      <c r="B15" s="12" t="s">
        <v>150</v>
      </c>
      <c r="C15" s="13" t="s">
        <v>151</v>
      </c>
      <c r="D15" s="13" t="s">
        <v>152</v>
      </c>
      <c r="E15" s="13" t="s">
        <v>153</v>
      </c>
      <c r="F15" s="13" t="s">
        <v>154</v>
      </c>
      <c r="G15" s="13" t="s">
        <v>155</v>
      </c>
    </row>
    <row r="16" ht="31.5" customHeight="1" spans="1:7" x14ac:dyDescent="0.25">
      <c r="A16" s="12" t="s">
        <v>149</v>
      </c>
      <c r="B16" s="12" t="s">
        <v>156</v>
      </c>
      <c r="C16" s="13" t="s">
        <v>157</v>
      </c>
      <c r="D16" s="13" t="s">
        <v>158</v>
      </c>
      <c r="E16" s="13" t="s">
        <v>159</v>
      </c>
      <c r="F16" s="13" t="s">
        <v>160</v>
      </c>
      <c r="G16" s="13" t="s">
        <v>161</v>
      </c>
    </row>
    <row r="17" ht="31.5" customHeight="1" spans="1:7" x14ac:dyDescent="0.25">
      <c r="A17" s="12" t="s">
        <v>149</v>
      </c>
      <c r="B17" s="12" t="s">
        <v>162</v>
      </c>
      <c r="C17" s="13" t="s">
        <v>163</v>
      </c>
      <c r="D17" s="13" t="s">
        <v>164</v>
      </c>
      <c r="E17" s="13" t="s">
        <v>165</v>
      </c>
      <c r="F17" s="13" t="s">
        <v>166</v>
      </c>
      <c r="G17" s="13" t="s">
        <v>167</v>
      </c>
    </row>
    <row r="18" ht="31.5" customHeight="1" spans="1:7" x14ac:dyDescent="0.25">
      <c r="A18" s="14" t="s">
        <v>168</v>
      </c>
      <c r="B18" s="14" t="s">
        <v>169</v>
      </c>
      <c r="C18" s="15" t="s">
        <v>170</v>
      </c>
      <c r="D18" s="15" t="s">
        <v>171</v>
      </c>
      <c r="E18" s="15" t="s">
        <v>172</v>
      </c>
      <c r="F18" s="15" t="s">
        <v>173</v>
      </c>
      <c r="G18" s="15" t="s">
        <v>174</v>
      </c>
    </row>
    <row r="19" ht="31.5" customHeight="1" spans="1:7" x14ac:dyDescent="0.25">
      <c r="A19" s="14" t="s">
        <v>168</v>
      </c>
      <c r="B19" s="14" t="s">
        <v>175</v>
      </c>
      <c r="C19" s="15" t="s">
        <v>176</v>
      </c>
      <c r="D19" s="15" t="s">
        <v>177</v>
      </c>
      <c r="E19" s="15" t="s">
        <v>178</v>
      </c>
      <c r="F19" s="15" t="s">
        <v>179</v>
      </c>
      <c r="G19" s="15" t="s">
        <v>180</v>
      </c>
    </row>
    <row r="20" ht="31.5" customHeight="1" spans="1:7" x14ac:dyDescent="0.25">
      <c r="A20" s="14" t="s">
        <v>168</v>
      </c>
      <c r="B20" s="14" t="s">
        <v>181</v>
      </c>
      <c r="C20" s="15" t="s">
        <v>182</v>
      </c>
      <c r="D20" s="15" t="s">
        <v>183</v>
      </c>
      <c r="E20" s="15" t="s">
        <v>184</v>
      </c>
      <c r="F20" s="15" t="s">
        <v>185</v>
      </c>
      <c r="G20" s="15" t="s">
        <v>186</v>
      </c>
    </row>
  </sheetData>
  <mergeCells count="5">
    <mergeCell ref="A1:G1"/>
    <mergeCell ref="A3:A5"/>
    <mergeCell ref="A6:A8"/>
    <mergeCell ref="A9:A11"/>
    <mergeCell ref="A12:A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 zoomScale="55" zoomScaleNormal="55">
      <selection activeCell="E1" sqref="E1"/>
    </sheetView>
  </sheetViews>
  <sheetFormatPr defaultRowHeight="80" outlineLevelRow="0" outlineLevelCol="0" x14ac:dyDescent="0.45" defaultColWidth="9" customHeight="1"/>
  <cols>
    <col min="1" max="1" width="9" style="2" customWidth="1"/>
    <col min="2" max="2" width="43.9296875" style="2" customWidth="1"/>
    <col min="3" max="3" width="17.19921875" style="2" customWidth="1"/>
    <col min="4" max="4" width="69.6640625" style="3" customWidth="1"/>
    <col min="5" max="5" width="50.3984375" style="2" customWidth="1"/>
    <col min="6" max="6" width="9.6640625" style="2" customWidth="1"/>
    <col min="7" max="16384" width="9" style="2" customWidth="1"/>
  </cols>
  <sheetData>
    <row r="1" ht="80" customHeight="1" spans="1:5" x14ac:dyDescent="0.25">
      <c r="A1" s="16" t="s">
        <v>187</v>
      </c>
      <c r="B1" s="17" t="s">
        <v>188</v>
      </c>
      <c r="C1" s="17" t="s">
        <v>189</v>
      </c>
      <c r="D1" s="18" t="s">
        <v>190</v>
      </c>
      <c r="E1" s="19" t="s">
        <v>191</v>
      </c>
    </row>
    <row r="2" ht="80" customHeight="1" spans="1:5" x14ac:dyDescent="0.25">
      <c r="A2" s="2">
        <v>1</v>
      </c>
      <c r="B2" s="2" t="s">
        <v>192</v>
      </c>
      <c r="C2" s="2" t="s">
        <v>193</v>
      </c>
      <c r="D2" s="3" t="s">
        <v>194</v>
      </c>
      <c r="E2" s="2" t="s">
        <v>195</v>
      </c>
    </row>
    <row r="3" ht="80" customHeight="1" spans="1:5" x14ac:dyDescent="0.25">
      <c r="A3" s="2">
        <v>2</v>
      </c>
      <c r="B3" s="2" t="s">
        <v>196</v>
      </c>
      <c r="C3" s="2" t="s">
        <v>197</v>
      </c>
      <c r="D3" s="3" t="s">
        <v>198</v>
      </c>
      <c r="E3" s="2" t="s">
        <v>199</v>
      </c>
    </row>
    <row r="4" ht="80" customHeight="1" spans="1:5" x14ac:dyDescent="0.25">
      <c r="A4" s="2">
        <v>3</v>
      </c>
      <c r="B4" s="2" t="s">
        <v>200</v>
      </c>
      <c r="C4" s="2" t="s">
        <v>201</v>
      </c>
      <c r="D4" s="3" t="s">
        <v>202</v>
      </c>
      <c r="E4" s="2" t="s">
        <v>203</v>
      </c>
    </row>
    <row r="5" ht="80" customHeight="1" spans="1:5" x14ac:dyDescent="0.25">
      <c r="A5" s="2">
        <v>4</v>
      </c>
      <c r="B5" s="2" t="s">
        <v>204</v>
      </c>
      <c r="C5" s="2" t="s">
        <v>205</v>
      </c>
      <c r="D5" s="3" t="s">
        <v>206</v>
      </c>
      <c r="E5" s="2" t="s">
        <v>207</v>
      </c>
    </row>
    <row r="6" ht="80" customHeight="1" spans="1:5" x14ac:dyDescent="0.25">
      <c r="A6" s="2">
        <v>5</v>
      </c>
      <c r="B6" s="2" t="s">
        <v>208</v>
      </c>
      <c r="C6" s="2" t="s">
        <v>209</v>
      </c>
      <c r="D6" s="3" t="s">
        <v>210</v>
      </c>
      <c r="E6" s="2" t="s">
        <v>211</v>
      </c>
    </row>
    <row r="7" ht="80" customHeight="1" spans="1:5" x14ac:dyDescent="0.25">
      <c r="A7" s="2">
        <v>6</v>
      </c>
      <c r="B7" s="2" t="s">
        <v>212</v>
      </c>
      <c r="C7" s="2" t="s">
        <v>213</v>
      </c>
      <c r="D7" s="3" t="s">
        <v>214</v>
      </c>
      <c r="E7" s="2" t="s">
        <v>215</v>
      </c>
    </row>
    <row r="8" ht="80" customHeight="1" spans="1:5" x14ac:dyDescent="0.25">
      <c r="A8" s="2">
        <v>7</v>
      </c>
      <c r="B8" s="2" t="s">
        <v>216</v>
      </c>
      <c r="C8" s="2" t="s">
        <v>217</v>
      </c>
      <c r="D8" s="3" t="s">
        <v>218</v>
      </c>
      <c r="E8" s="2" t="s">
        <v>219</v>
      </c>
    </row>
    <row r="9" ht="80" customHeight="1" spans="1:5" x14ac:dyDescent="0.25">
      <c r="A9" s="2">
        <v>8</v>
      </c>
      <c r="B9" s="2" t="s">
        <v>220</v>
      </c>
      <c r="C9" s="2" t="s">
        <v>221</v>
      </c>
      <c r="D9" s="3" t="s">
        <v>222</v>
      </c>
      <c r="E9" s="2" t="s">
        <v>223</v>
      </c>
    </row>
    <row r="10" ht="80" customHeight="1" spans="1:5" x14ac:dyDescent="0.25">
      <c r="A10" s="2">
        <v>9</v>
      </c>
      <c r="B10" s="2" t="s">
        <v>224</v>
      </c>
      <c r="C10" s="2" t="s">
        <v>225</v>
      </c>
      <c r="D10" s="3" t="s">
        <v>226</v>
      </c>
      <c r="E10" s="2" t="s">
        <v>227</v>
      </c>
    </row>
    <row r="11" ht="80" customHeight="1" spans="1:5" x14ac:dyDescent="0.25">
      <c r="A11" s="2">
        <v>10</v>
      </c>
      <c r="B11" s="2" t="s">
        <v>228</v>
      </c>
      <c r="C11" s="2" t="s">
        <v>229</v>
      </c>
      <c r="D11" s="3" t="s">
        <v>230</v>
      </c>
      <c r="E11" s="2" t="s">
        <v>231</v>
      </c>
    </row>
    <row r="12" ht="80" customHeight="1" spans="1:5" x14ac:dyDescent="0.25">
      <c r="A12" s="2">
        <v>11</v>
      </c>
      <c r="B12" s="2" t="s">
        <v>232</v>
      </c>
      <c r="C12" s="2" t="s">
        <v>233</v>
      </c>
      <c r="D12" s="3" t="s">
        <v>234</v>
      </c>
      <c r="E12" s="2" t="s">
        <v>235</v>
      </c>
    </row>
    <row r="13" ht="80" customHeight="1" spans="1:5" x14ac:dyDescent="0.25">
      <c r="A13" s="2">
        <v>12</v>
      </c>
      <c r="B13" s="2" t="s">
        <v>236</v>
      </c>
      <c r="C13" s="2" t="s">
        <v>237</v>
      </c>
      <c r="D13" s="3" t="s">
        <v>238</v>
      </c>
      <c r="E13" s="2" t="s">
        <v>239</v>
      </c>
    </row>
    <row r="14" ht="80" customHeight="1" spans="1:5" x14ac:dyDescent="0.25">
      <c r="A14" s="2">
        <v>13</v>
      </c>
      <c r="B14" s="2" t="s">
        <v>240</v>
      </c>
      <c r="C14" s="2" t="s">
        <v>241</v>
      </c>
      <c r="D14" s="3" t="s">
        <v>242</v>
      </c>
      <c r="E14" s="2" t="s">
        <v>243</v>
      </c>
    </row>
    <row r="15" ht="80" customHeight="1" spans="1:5" x14ac:dyDescent="0.25">
      <c r="A15" s="2">
        <v>14</v>
      </c>
      <c r="B15" s="2" t="s">
        <v>244</v>
      </c>
      <c r="C15" s="2" t="s">
        <v>245</v>
      </c>
      <c r="D15" s="3" t="s">
        <v>246</v>
      </c>
      <c r="E15" s="2" t="s">
        <v>247</v>
      </c>
    </row>
    <row r="16" ht="80" customHeight="1" spans="1:5" x14ac:dyDescent="0.25">
      <c r="A16" s="2">
        <v>15</v>
      </c>
      <c r="B16" s="2" t="s">
        <v>248</v>
      </c>
      <c r="C16" s="2" t="s">
        <v>249</v>
      </c>
      <c r="D16" s="3" t="s">
        <v>250</v>
      </c>
      <c r="E16" s="2" t="s">
        <v>251</v>
      </c>
    </row>
    <row r="17" ht="80" customHeight="1" spans="1:5" x14ac:dyDescent="0.25">
      <c r="A17" s="2">
        <v>16</v>
      </c>
      <c r="B17" s="2" t="s">
        <v>252</v>
      </c>
      <c r="C17" s="2" t="s">
        <v>253</v>
      </c>
      <c r="D17" s="3" t="s">
        <v>254</v>
      </c>
      <c r="E17" s="2" t="s">
        <v>255</v>
      </c>
    </row>
    <row r="18" ht="80" customHeight="1" spans="1:5" x14ac:dyDescent="0.25">
      <c r="A18" s="2">
        <v>17</v>
      </c>
      <c r="B18" s="2" t="s">
        <v>256</v>
      </c>
      <c r="C18" s="2" t="s">
        <v>257</v>
      </c>
      <c r="D18" s="3" t="s">
        <v>258</v>
      </c>
      <c r="E18" s="2" t="s">
        <v>259</v>
      </c>
    </row>
    <row r="19" ht="80" customHeight="1" spans="1:5" x14ac:dyDescent="0.25">
      <c r="A19" s="2">
        <v>18</v>
      </c>
      <c r="B19" s="2" t="s">
        <v>260</v>
      </c>
      <c r="C19" s="2" t="s">
        <v>261</v>
      </c>
      <c r="D19" s="3" t="s">
        <v>262</v>
      </c>
      <c r="E19" s="2" t="s">
        <v>263</v>
      </c>
    </row>
    <row r="20" ht="80" customHeight="1" spans="1:5" x14ac:dyDescent="0.25">
      <c r="A20" s="2">
        <v>19</v>
      </c>
      <c r="B20" s="2" t="s">
        <v>264</v>
      </c>
      <c r="C20" s="2" t="s">
        <v>265</v>
      </c>
      <c r="D20" s="3" t="s">
        <v>266</v>
      </c>
      <c r="E20" s="2" t="s">
        <v>267</v>
      </c>
    </row>
    <row r="21" ht="80" customHeight="1" spans="1:5" x14ac:dyDescent="0.25">
      <c r="A21" s="2">
        <v>20</v>
      </c>
      <c r="B21" s="2" t="s">
        <v>268</v>
      </c>
      <c r="C21" s="2" t="s">
        <v>269</v>
      </c>
      <c r="D21" s="3" t="s">
        <v>270</v>
      </c>
      <c r="E21" s="2" t="s">
        <v>271</v>
      </c>
    </row>
    <row r="22" ht="80" customHeight="1" spans="1:5" x14ac:dyDescent="0.25">
      <c r="A22" s="2">
        <v>21</v>
      </c>
      <c r="B22" s="2" t="s">
        <v>272</v>
      </c>
      <c r="C22" s="2" t="s">
        <v>273</v>
      </c>
      <c r="D22" s="3" t="s">
        <v>274</v>
      </c>
      <c r="E22" s="2" t="s">
        <v>275</v>
      </c>
    </row>
    <row r="23" ht="80" customHeight="1" spans="1:5" x14ac:dyDescent="0.25">
      <c r="A23" s="2">
        <v>22</v>
      </c>
      <c r="B23" s="2" t="s">
        <v>276</v>
      </c>
      <c r="C23" s="2" t="s">
        <v>277</v>
      </c>
      <c r="D23" s="3" t="s">
        <v>278</v>
      </c>
      <c r="E23" s="2" t="s">
        <v>279</v>
      </c>
    </row>
    <row r="24" ht="80" customHeight="1" spans="1:5" x14ac:dyDescent="0.25">
      <c r="A24" s="2">
        <v>23</v>
      </c>
      <c r="B24" s="2" t="s">
        <v>280</v>
      </c>
      <c r="C24" s="2" t="s">
        <v>281</v>
      </c>
      <c r="D24" s="3" t="s">
        <v>282</v>
      </c>
      <c r="E24" s="2" t="s">
        <v>283</v>
      </c>
    </row>
    <row r="25" ht="80" customHeight="1" spans="1:5" x14ac:dyDescent="0.25">
      <c r="A25" s="2">
        <v>24</v>
      </c>
      <c r="B25" s="2" t="s">
        <v>284</v>
      </c>
      <c r="C25" s="2" t="s">
        <v>285</v>
      </c>
      <c r="D25" s="3" t="s">
        <v>286</v>
      </c>
      <c r="E25" s="2" t="s">
        <v>287</v>
      </c>
    </row>
    <row r="26" ht="80" customHeight="1" spans="1:5" x14ac:dyDescent="0.25">
      <c r="A26" s="2">
        <v>25</v>
      </c>
      <c r="B26" s="2" t="s">
        <v>288</v>
      </c>
      <c r="C26" s="2" t="s">
        <v>289</v>
      </c>
      <c r="D26" s="3" t="s">
        <v>290</v>
      </c>
      <c r="E26" s="2" t="s">
        <v>291</v>
      </c>
    </row>
    <row r="27" ht="80" customHeight="1" spans="1:5" x14ac:dyDescent="0.25">
      <c r="A27" s="2">
        <v>26</v>
      </c>
      <c r="B27" s="2" t="s">
        <v>292</v>
      </c>
      <c r="C27" s="2" t="s">
        <v>293</v>
      </c>
      <c r="D27" s="3" t="s">
        <v>294</v>
      </c>
      <c r="E27" s="2" t="s">
        <v>295</v>
      </c>
    </row>
    <row r="28" ht="80" customHeight="1" spans="1:5" x14ac:dyDescent="0.25">
      <c r="A28" s="2">
        <v>27</v>
      </c>
      <c r="B28" s="2" t="s">
        <v>296</v>
      </c>
      <c r="C28" s="2" t="s">
        <v>297</v>
      </c>
      <c r="D28" s="3" t="s">
        <v>298</v>
      </c>
      <c r="E28" s="2" t="s">
        <v>299</v>
      </c>
    </row>
    <row r="29" ht="80" customHeight="1" spans="1:5" x14ac:dyDescent="0.25">
      <c r="A29" s="2">
        <v>28</v>
      </c>
      <c r="B29" s="2" t="s">
        <v>300</v>
      </c>
      <c r="C29" s="2" t="s">
        <v>301</v>
      </c>
      <c r="D29" s="3" t="s">
        <v>302</v>
      </c>
      <c r="E29" s="2" t="s">
        <v>303</v>
      </c>
    </row>
    <row r="30" ht="80" customHeight="1" spans="1:5" x14ac:dyDescent="0.25">
      <c r="A30" s="2">
        <v>29</v>
      </c>
      <c r="B30" s="2" t="s">
        <v>304</v>
      </c>
      <c r="C30" s="2" t="s">
        <v>305</v>
      </c>
      <c r="D30" s="3" t="s">
        <v>306</v>
      </c>
      <c r="E30" s="2" t="s">
        <v>307</v>
      </c>
    </row>
    <row r="31" ht="80" customHeight="1" spans="1:5" x14ac:dyDescent="0.25">
      <c r="A31" s="2">
        <v>30</v>
      </c>
      <c r="B31" s="2" t="s">
        <v>308</v>
      </c>
      <c r="C31" s="2" t="s">
        <v>309</v>
      </c>
      <c r="D31" s="3" t="s">
        <v>310</v>
      </c>
      <c r="E31" s="2" t="s">
        <v>311</v>
      </c>
    </row>
    <row r="32" ht="80" customHeight="1" spans="1:5" x14ac:dyDescent="0.25">
      <c r="A32" s="2">
        <v>31</v>
      </c>
      <c r="B32" s="2" t="s">
        <v>312</v>
      </c>
      <c r="C32" s="2" t="s">
        <v>313</v>
      </c>
      <c r="D32" s="3" t="s">
        <v>314</v>
      </c>
      <c r="E32" s="2" t="s">
        <v>315</v>
      </c>
    </row>
    <row r="33" ht="80" customHeight="1" spans="1:5" x14ac:dyDescent="0.25">
      <c r="A33" s="2">
        <v>32</v>
      </c>
      <c r="B33" s="2" t="s">
        <v>316</v>
      </c>
      <c r="C33" s="2" t="s">
        <v>317</v>
      </c>
      <c r="D33" s="3" t="s">
        <v>318</v>
      </c>
      <c r="E33" s="2" t="s">
        <v>319</v>
      </c>
    </row>
    <row r="34" ht="80" customHeight="1" spans="1:5" x14ac:dyDescent="0.25">
      <c r="A34" s="2">
        <v>33</v>
      </c>
      <c r="B34" s="2" t="s">
        <v>320</v>
      </c>
      <c r="C34" s="2" t="s">
        <v>321</v>
      </c>
      <c r="D34" s="3" t="s">
        <v>322</v>
      </c>
      <c r="E34" s="2" t="s">
        <v>323</v>
      </c>
    </row>
    <row r="35" ht="80" customHeight="1" spans="1:5" x14ac:dyDescent="0.25">
      <c r="A35" s="2">
        <v>34</v>
      </c>
      <c r="B35" s="2" t="s">
        <v>324</v>
      </c>
      <c r="C35" s="2" t="s">
        <v>325</v>
      </c>
      <c r="D35" s="3" t="s">
        <v>326</v>
      </c>
      <c r="E35" s="2" t="s">
        <v>327</v>
      </c>
    </row>
    <row r="36" ht="80" customHeight="1" spans="1:5" x14ac:dyDescent="0.25">
      <c r="A36" s="2">
        <v>35</v>
      </c>
      <c r="B36" s="2" t="s">
        <v>328</v>
      </c>
      <c r="C36" s="2" t="s">
        <v>329</v>
      </c>
      <c r="D36" s="3" t="s">
        <v>330</v>
      </c>
      <c r="E36" s="2" t="s"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>
      <selection activeCell="E10" sqref="E10"/>
    </sheetView>
  </sheetViews>
  <sheetFormatPr defaultRowHeight="15.75" outlineLevelRow="0" outlineLevelCol="0" x14ac:dyDescent="0.45" customHeight="1"/>
  <cols>
    <col min="1" max="1" width="44.53125" customWidth="1"/>
    <col min="2" max="2" width="17.06640625" customWidth="1"/>
  </cols>
  <sheetData>
    <row r="1" ht="15.75" customHeight="1" spans="1:2" x14ac:dyDescent="0.25">
      <c r="A1" t="s">
        <v>332</v>
      </c>
      <c r="B1" t="s">
        <v>333</v>
      </c>
    </row>
    <row r="2" ht="15.75" customHeight="1" spans="1:2" x14ac:dyDescent="0.25">
      <c r="A2" t="s">
        <v>334</v>
      </c>
      <c r="B2" t="s">
        <v>335</v>
      </c>
    </row>
    <row r="3" ht="15.75" customHeight="1" spans="1:2" x14ac:dyDescent="0.25">
      <c r="A3" t="s">
        <v>336</v>
      </c>
      <c r="B3" t="s">
        <v>337</v>
      </c>
    </row>
    <row r="4" ht="15.75" customHeight="1" spans="1:2" x14ac:dyDescent="0.25">
      <c r="A4" t="s">
        <v>338</v>
      </c>
      <c r="B4" t="s">
        <v>339</v>
      </c>
    </row>
    <row r="5" ht="15.75" customHeight="1" spans="1:2" x14ac:dyDescent="0.25">
      <c r="A5" t="s">
        <v>340</v>
      </c>
      <c r="B5" t="s">
        <v>341</v>
      </c>
    </row>
    <row r="6" ht="15.75" customHeight="1" spans="1:2" x14ac:dyDescent="0.25">
      <c r="A6" t="s">
        <v>342</v>
      </c>
      <c r="B6" t="s">
        <v>343</v>
      </c>
    </row>
    <row r="7" ht="15.75" customHeight="1" spans="1:2" x14ac:dyDescent="0.25">
      <c r="A7" t="s">
        <v>344</v>
      </c>
      <c r="B7" t="s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style="20" customWidth="1"/>
    <col min="2" max="2" width="25" style="20" customWidth="1"/>
    <col min="3" max="3" width="20" style="20" customWidth="1"/>
    <col min="4" max="4" width="45" style="20" customWidth="1"/>
    <col min="5" max="5" width="80" style="21" customWidth="1"/>
    <col min="6" max="6" width="45" style="20" customWidth="1"/>
  </cols>
  <sheetData>
    <row r="1" spans="1:6" s="22" customFormat="1" x14ac:dyDescent="0.25">
      <c r="A1" s="23" t="s">
        <v>34</v>
      </c>
      <c r="B1" s="23" t="s">
        <v>35</v>
      </c>
      <c r="C1" s="23" t="s">
        <v>189</v>
      </c>
      <c r="D1" s="23" t="s">
        <v>346</v>
      </c>
      <c r="E1" s="24" t="s">
        <v>347</v>
      </c>
      <c r="F1" s="23" t="s">
        <v>191</v>
      </c>
    </row>
    <row r="2" spans="1:6" x14ac:dyDescent="0.25">
      <c r="A2" s="20" t="s">
        <v>63</v>
      </c>
      <c r="B2" s="20" t="s">
        <v>64</v>
      </c>
      <c r="C2" s="20" t="s">
        <v>329</v>
      </c>
      <c r="D2" s="20" t="s">
        <v>328</v>
      </c>
      <c r="E2" s="21" t="s">
        <v>330</v>
      </c>
      <c r="F2" s="20" t="s">
        <v>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คำแนะนำการใช้งาน</vt:lpstr>
      <vt:lpstr>ประเมินผลทีม</vt:lpstr>
      <vt:lpstr>เกณฑ์ประเมินแบบละเอียด</vt:lpstr>
      <vt:lpstr>Archetypes Guide V2</vt:lpstr>
      <vt:lpstr>Stats Definition V2</vt:lpstr>
      <vt:lpstr>สรุปผลการประเมิน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2026-08-10T17:27:22Z</dcterms:created>
  <dcterms:modified xsi:type="dcterms:W3CDTF">2026-08-18T04:55:53Z</dcterms:modified>
</cp:coreProperties>
</file>